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_Resumen" sheetId="1" state="visible" r:id="rId3"/>
    <sheet name="Plan_Supuestos" sheetId="2" state="visible" r:id="rId4"/>
    <sheet name="Plan_Conservador" sheetId="3" state="visible" r:id="rId5"/>
    <sheet name="Plan_Base" sheetId="4" state="visible" r:id="rId6"/>
    <sheet name="Plan_Ambicioso" sheetId="5" state="visible" r:id="rId7"/>
    <sheet name="Resumen" sheetId="6" state="visible" r:id="rId8"/>
    <sheet name="Supuestos" sheetId="7" state="visible" r:id="rId9"/>
    <sheet name="Desglose" sheetId="8" state="visible" r:id="rId10"/>
    <sheet name="Contenedor2" sheetId="9" state="visible" r:id="rId11"/>
    <sheet name="Courier_Hub" sheetId="10" state="visible" r:id="rId12"/>
    <sheet name="Stock_Hub" sheetId="11" state="visible" r:id="rId13"/>
    <sheet name="Costo_Lima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<sst xmlns="http://schemas.openxmlformats.org/spreadsheetml/2006/main" count="711" uniqueCount="493">
  <si>
    <t xml:space="preserve">Plan hacia US$ 1M de utilidad anual - resumen de escenarios</t>
  </si>
  <si>
    <t xml:space="preserve">Todo son formulas. Cambia los supuestos en Plan_Supuestos. La utilidad es antes de impuestos salvo que pongas una tasa. Canales propios (Shopify + WhatsApp).</t>
  </si>
  <si>
    <t xml:space="preserve">Resultado</t>
  </si>
  <si>
    <t xml:space="preserve">Conservador</t>
  </si>
  <si>
    <t xml:space="preserve">Base</t>
  </si>
  <si>
    <t xml:space="preserve">Ambicioso</t>
  </si>
  <si>
    <t xml:space="preserve">Gasto Meta al mes 24 (S/ por mes)</t>
  </si>
  <si>
    <t xml:space="preserve">CAC al mes 24 (S/)</t>
  </si>
  <si>
    <t xml:space="preserve">Pedidos nuevos por dia al mes 24</t>
  </si>
  <si>
    <t xml:space="preserve">Utilidad neta del mes 12 (S/)</t>
  </si>
  <si>
    <t xml:space="preserve">Utilidad neta del mes 24 (S/)</t>
  </si>
  <si>
    <t xml:space="preserve">Utilidad de los ultimos 12 meses, mes 13 a 24 (US$)</t>
  </si>
  <si>
    <t xml:space="preserve">Run-rate anual al mes 24 (US$)</t>
  </si>
  <si>
    <t xml:space="preserve">Utilidad acumulada en 24 meses (US$)</t>
  </si>
  <si>
    <t xml:space="preserve">Primer mes con run-rate anual &gt;= meta</t>
  </si>
  <si>
    <t xml:space="preserve">Necesidad maxima de caja (S/)</t>
  </si>
  <si>
    <t xml:space="preserve">Lectura: la meta es US$ 1M de utilidad al año. "Run-rate" = utilidad del mes x 12. Si el escenario no llega, la fila "Primer mes" dice "no en 24 meses".</t>
  </si>
  <si>
    <t xml:space="preserve">Que comprar en el proximo lote (escenario Base)</t>
  </si>
  <si>
    <t xml:space="preserve">Producto</t>
  </si>
  <si>
    <t xml:space="preserve">Demanda meses 5 a 10 (Mar-Ago 2027)</t>
  </si>
  <si>
    <t xml:space="preserve">Con colchon</t>
  </si>
  <si>
    <t xml:space="preserve">Stock actual</t>
  </si>
  <si>
    <t xml:space="preserve">A comprar</t>
  </si>
  <si>
    <t xml:space="preserve">Costo unitario puesto en Lima (S/)</t>
  </si>
  <si>
    <t xml:space="preserve">Capital (S/)</t>
  </si>
  <si>
    <t xml:space="preserve">Purificadores Nativo + Vivo</t>
  </si>
  <si>
    <t xml:space="preserve">Repuestos de caño</t>
  </si>
  <si>
    <t xml:space="preserve">Piezas Ritual</t>
  </si>
  <si>
    <t xml:space="preserve">Bidon 22 L</t>
  </si>
  <si>
    <t xml:space="preserve">Bidon 16 L</t>
  </si>
  <si>
    <t xml:space="preserve">elvo· Cero</t>
  </si>
  <si>
    <t xml:space="preserve">Total capital del lote</t>
  </si>
  <si>
    <t xml:space="preserve">Colchon sobre la demanda</t>
  </si>
  <si>
    <t xml:space="preserve">Stock actual: 450 purificadores y 600 repuestos (usuario); bidones, Cero y kits son los del contenedor que llega el 25-oct. Los bidones y el Cero ya estan comprados: cuentan como stock.</t>
  </si>
  <si>
    <t xml:space="preserve">La demanda de purificadores y repuestos sale de los pedidos del escenario Base; el tiempo de importacion es de ~4.5 meses, por eso este lote llega para marzo de 2027.</t>
  </si>
  <si>
    <t xml:space="preserve">Plan hacia US$ 1M de utilidad - supuestos (canales propios: Shopify y WhatsApp/YaVendio)</t>
  </si>
  <si>
    <t xml:space="preserve">Azul = supuesto editable; amarillo = el mas incierto. Verde = viene de las otras hojas. Los marketplaces van en otro analisis.</t>
  </si>
  <si>
    <t xml:space="preserve">General (igual en los tres escenarios)</t>
  </si>
  <si>
    <t xml:space="preserve">Valor</t>
  </si>
  <si>
    <t xml:space="preserve">Nota</t>
  </si>
  <si>
    <t xml:space="preserve">Pedidos nuevos por dia hoy</t>
  </si>
  <si>
    <t xml:space="preserve">Sep-oct 2026: ~222 pedidos en 49 dias entre Shopify y YaVendio.</t>
  </si>
  <si>
    <t xml:space="preserve">Gasto Meta mensual hoy (S/)</t>
  </si>
  <si>
    <t xml:space="preserve">Sep-oct 2026: S/ 14.1k en 49 dias.</t>
  </si>
  <si>
    <t xml:space="preserve">Pedidos de base historica que generan recompra el primer año</t>
  </si>
  <si>
    <t xml:space="preserve">SUPUESTO: clientes anteriores que aun renuevan.</t>
  </si>
  <si>
    <t xml:space="preserve">Pedidos de Lima (% del total)</t>
  </si>
  <si>
    <t xml:space="preserve">Lima 80% de entrega y provincia con seña: el promedio de 85% implica ~25% provincia.</t>
  </si>
  <si>
    <t xml:space="preserve">Costos fijos al mes (S/)</t>
  </si>
  <si>
    <t xml:space="preserve">SUPUESTO: equipo, software, oficina. REEMPLAZAR con tus costos reales.</t>
  </si>
  <si>
    <t xml:space="preserve">Costo variable por pedido (S/)</t>
  </si>
  <si>
    <t xml:space="preserve">SUPUESTO: atencion al cliente, operaciones, facturacion.</t>
  </si>
  <si>
    <t xml:space="preserve">Meses de cobertura de inventario</t>
  </si>
  <si>
    <t xml:space="preserve">Tiempo de importacion: ~4.5 meses.</t>
  </si>
  <si>
    <t xml:space="preserve">Impuesto a la renta (0 = utilidad antes de impuestos)</t>
  </si>
  <si>
    <t xml:space="preserve">Confirmar con tu contador.</t>
  </si>
  <si>
    <t xml:space="preserve">Tipo de cambio</t>
  </si>
  <si>
    <t xml:space="preserve">Meta de utilidad anual (US$)</t>
  </si>
  <si>
    <t xml:space="preserve">Escenarios</t>
  </si>
  <si>
    <t xml:space="preserve">CAC inicial (S/ por pedido nuevo)</t>
  </si>
  <si>
    <t xml:space="preserve">Real: sep S/ 54, oct S/ 81, promedio S/ 64.</t>
  </si>
  <si>
    <t xml:space="preserve">Elasticidad del CAC al gasto</t>
  </si>
  <si>
    <t xml:space="preserve">Si el gasto se duplica, el CAC sube 2^e - 1 (e = 0.25: +19%). SUPUESTO clave.</t>
  </si>
  <si>
    <t xml:space="preserve">Crecimiento mensual del gasto en Meta</t>
  </si>
  <si>
    <t xml:space="preserve">Tope de gasto mensual (S/)</t>
  </si>
  <si>
    <t xml:space="preserve">Mejora mensual del CAC por optimizacion</t>
  </si>
  <si>
    <t xml:space="preserve">Mejores anuncios, seña, confirmacion de pedido.</t>
  </si>
  <si>
    <t xml:space="preserve">Tope de la mejora acumulada del CAC</t>
  </si>
  <si>
    <t xml:space="preserve">Pedidos organicos (% de los pagados)</t>
  </si>
  <si>
    <t xml:space="preserve">Referidos, busqueda, recontacto.</t>
  </si>
  <si>
    <t xml:space="preserve">Recompra (% de los pedidos nuevos de hace 12 meses)</t>
  </si>
  <si>
    <t xml:space="preserve">Repuestos de nucleo.</t>
  </si>
  <si>
    <t xml:space="preserve">Participacion del Cero en el mes 12 (% de pedidos)</t>
  </si>
  <si>
    <t xml:space="preserve">SUPUESTO: depende de poder vender un producto de S/ 2,299 en WhatsApp.</t>
  </si>
  <si>
    <t xml:space="preserve">Mejora de entrega en Lima a los 6 meses (puntos)</t>
  </si>
  <si>
    <t xml:space="preserve">Seña en Lima, confirmacion 24 h antes, The Hub.</t>
  </si>
  <si>
    <t xml:space="preserve">Utilidad antes de publicidad Lima (S/)</t>
  </si>
  <si>
    <t xml:space="preserve">Utilidad antes de publicidad provincia (S/)</t>
  </si>
  <si>
    <t xml:space="preserve">Utilidad mezclada (S/)</t>
  </si>
  <si>
    <t xml:space="preserve">Margen por pedido entregado en Lima (S/)</t>
  </si>
  <si>
    <t xml:space="preserve">Costo de producto por pedido (S/)</t>
  </si>
  <si>
    <t xml:space="preserve">Mezcla de pedidos: mes 1</t>
  </si>
  <si>
    <t xml:space="preserve">Mezcla de pedidos: mes 12</t>
  </si>
  <si>
    <t xml:space="preserve">Repuestos de caño por pedido</t>
  </si>
  <si>
    <t xml:space="preserve">Piezas Ritual por pedido</t>
  </si>
  <si>
    <t xml:space="preserve">Nativo (mezcla de planes)</t>
  </si>
  <si>
    <t xml:space="preserve">Resto</t>
  </si>
  <si>
    <t xml:space="preserve">Vivo 3 años</t>
  </si>
  <si>
    <t xml:space="preserve">Segun escenario</t>
  </si>
  <si>
    <t xml:space="preserve">Ritual (venta aparte con publicidad)</t>
  </si>
  <si>
    <t xml:space="preserve">Repuesto Nativo (recompra)</t>
  </si>
  <si>
    <t xml:space="preserve">Nativo: mezcla de planes en cada pedido nuevo. Cero y bidones usan el margen de Lima en todo el pais. El Ritual y el bidon de 16 L no rinden si se venden con publicidad a este CAC; el Ritual entra como venta cruzada en el mismo envio.</t>
  </si>
  <si>
    <t xml:space="preserve">Mezcla de planes Nativo</t>
  </si>
  <si>
    <t xml:space="preserve">  Nativo 18 meses</t>
  </si>
  <si>
    <t xml:space="preserve">  Nativo 3 años</t>
  </si>
  <si>
    <t xml:space="preserve">  Nativo 6 años</t>
  </si>
  <si>
    <t xml:space="preserve">Venta cruzada de Ritual (% de pedidos nuevos): mes 1</t>
  </si>
  <si>
    <t xml:space="preserve">SUPUESTO. Ritual sin kit agregado a un pedido de Nativo: sin segundo envio ni segundo CAC.</t>
  </si>
  <si>
    <t xml:space="preserve">Venta cruzada de Ritual (% de pedidos nuevos): mes 12</t>
  </si>
  <si>
    <t xml:space="preserve">Utilidad por Ritual vendido en el mismo envio (S/)</t>
  </si>
  <si>
    <t xml:space="preserve">Margen entregado del Ritual (sin kit) x 85% de entrega.</t>
  </si>
  <si>
    <t xml:space="preserve">Plan a 24 meses - escenario Conservador</t>
  </si>
  <si>
    <t xml:space="preserve">Todo son formulas a partir de Plan_Supuestos y de las hojas de costos. Mes 1 = noviembre 2026.</t>
  </si>
  <si>
    <t xml:space="preserve">Mes #</t>
  </si>
  <si>
    <t xml:space="preserve">Mes</t>
  </si>
  <si>
    <t xml:space="preserve">Nov-26</t>
  </si>
  <si>
    <t xml:space="preserve">Dic-26</t>
  </si>
  <si>
    <t xml:space="preserve">Ene-27</t>
  </si>
  <si>
    <t xml:space="preserve">Feb-27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</si>
  <si>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</si>
  <si>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</si>
  <si>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</si>
  <si>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</si>
  <si>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</si>
  <si>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</si>
  <si>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Sep-27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</si>
  <si>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</si>
  <si>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</si>
  <si>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</si>
  <si>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</si>
  <si>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</si>
  <si>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Mar-28</t>
  </si>
  <si>
    <t xml:space="preserve">Abr-28</t>
  </si>
  <si>
    <t xml:space="preserve">May-28</t>
  </si>
  <si>
    <t xml:space="preserve">Jun-28</t>
  </si>
  <si>
    <t xml:space="preserve">Jul-28</t>
  </si>
  <si>
    <t xml:space="preserve">Ago-28</t>
  </si>
  <si>
    <t xml:space="preserve">Sep-28</t>
  </si>
  <si>
    <t xml:space="preserve">Oct-28</t>
  </si>
  <si>
    <t xml:space="preserve">Gasto Meta (S/)</t>
  </si>
  <si>
    <t xml:space="preserve">Mejora de CAC acumulada</t>
  </si>
  <si>
    <t xml:space="preserve">CAC (S/ por pedido nuevo)</t>
  </si>
  <si>
    <t xml:space="preserve">Pedidos pagados</t>
  </si>
  <si>
    <t xml:space="preserve">Pedidos organicos</t>
  </si>
  <si>
    <t xml:space="preserve">Pedidos nuevos</t>
  </si>
  <si>
    <t xml:space="preserve">Pedidos nuevos por dia</t>
  </si>
  <si>
    <t xml:space="preserve">Pedidos de recompra</t>
  </si>
  <si>
    <t xml:space="preserve">Pedidos totales</t>
  </si>
  <si>
    <t xml:space="preserve">Avance de la transicion de mezcla</t>
  </si>
  <si>
    <t xml:space="preserve">Mezcla: Nativo</t>
  </si>
  <si>
    <t xml:space="preserve">Mezcla: Vivo</t>
  </si>
  <si>
    <t xml:space="preserve">Mezcla: Bidon 22 L</t>
  </si>
  <si>
    <t xml:space="preserve">Mezcla: Bidon 16 L</t>
  </si>
  <si>
    <t xml:space="preserve">Mezcla: Cero</t>
  </si>
  <si>
    <t xml:space="preserve">Mezcla: Ritual (venta aparte)</t>
  </si>
  <si>
    <t xml:space="preserve">Utilidad por pedido nuevo antes de publicidad (S/)</t>
  </si>
  <si>
    <t xml:space="preserve">Mejora por entrega en Lima por pedido (S/)</t>
  </si>
  <si>
    <t xml:space="preserve">Utilidad pedidos nuevos antes de publicidad</t>
  </si>
  <si>
    <t xml:space="preserve">Utilidad recompra</t>
  </si>
  <si>
    <t xml:space="preserve">Gasto Meta</t>
  </si>
  <si>
    <t xml:space="preserve">Utilidad despues de publicidad</t>
  </si>
  <si>
    <t xml:space="preserve">Costos fijos y variables</t>
  </si>
  <si>
    <t xml:space="preserve">Utilidad antes de impuestos</t>
  </si>
  <si>
    <t xml:space="preserve">Impuesto</t>
  </si>
  <si>
    <t xml:space="preserve">UTILIDAD NETA DEL MES</t>
  </si>
  <si>
    <t xml:space="preserve">Utilidad acumulada</t>
  </si>
  <si>
    <t xml:space="preserve">Utilidad ultimos 12 meses</t>
  </si>
  <si>
    <t xml:space="preserve">Run-rate anual (mes x 12) (S/)</t>
  </si>
  <si>
    <t xml:space="preserve">Run-rate anual (US$)</t>
  </si>
  <si>
    <t xml:space="preserve">¿Run-rate supera la meta? (1 = si)</t>
  </si>
  <si>
    <t xml:space="preserve">Costo de producto del mes</t>
  </si>
  <si>
    <t xml:space="preserve">Inventario requerido</t>
  </si>
  <si>
    <t xml:space="preserve">Variacion de inventario</t>
  </si>
  <si>
    <t xml:space="preserve">Flujo de caja del mes</t>
  </si>
  <si>
    <t xml:space="preserve">Caja acumulada</t>
  </si>
  <si>
    <t xml:space="preserve">Unidades: purificadores Nativo + Vivo</t>
  </si>
  <si>
    <t xml:space="preserve">Unidades: repuestos de caño</t>
  </si>
  <si>
    <t xml:space="preserve">Unidades: Ritual (venta cruzada)</t>
  </si>
  <si>
    <t xml:space="preserve">Unidades: bidon 22 L</t>
  </si>
  <si>
    <t xml:space="preserve">Unidades: bidon 16 L</t>
  </si>
  <si>
    <t xml:space="preserve">Unidades: Cero</t>
  </si>
  <si>
    <t xml:space="preserve">Plan a 24 meses - escenario Base</t>
  </si>
  <si>
    <t xml:space="preserve">Plan a 24 meses - escenario Ambicioso</t>
  </si>
  <si>
    <t xml:space="preserve">Resumen - utilidad por pedido (S/)</t>
  </si>
  <si>
    <t xml:space="preserve">Todas las cifras vienen de la hoja Desglose; cambia los supuestos en la hoja Supuestos.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</si>
  <si>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</si>
  <si>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</si>
  <si>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</si>
  <si>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</si>
  <si>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</si>
  <si>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</si>
  <si>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</si>
  <si>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</si>
  <si>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</si>
  <si>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</si>
  <si>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</si>
  <si>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</si>
  <si>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</si>
  <si>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</si>
  <si>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</si>
  <si>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</si>
  <si>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</si>
  <si>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Real sep-oct 2026: gasto Meta S/ 14.1k / ~222 pedidos (Shopify + YaVendio) = S/ 64 (sep 54, oct 81). Corrige el S/ 31 inicial.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</si>
  <si>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</si>
  <si>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</si>
  <si>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</si>
  <si>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</si>
  <si>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</si>
  <si>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</si>
  <si>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</si>
  <si>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</si>
  <si>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</si>
  <si>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</si>
  <si>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</si>
  <si>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</si>
  <si>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</si>
  <si>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</si>
  <si>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</si>
  <si>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</si>
  <si>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</si>
  <si>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</si>
  <si>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</si>
  <si>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</si>
  <si>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</si>
  <si>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</si>
  <si>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</si>
  <si>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</si>
  <si>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</si>
  <si>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</si>
  <si>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</si>
  <si>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</si>
  <si>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</si>
  <si>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</si>
  <si>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</si>
  <si>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</si>
  <si>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</si>
  <si>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</si>
  <si>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</si>
  <si>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</si>
  <si>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</si>
  <si>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</si>
  <si>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</si>
  <si>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</si>
  <si>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</si>
  <si>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</si>
  <si>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</si>
  <si>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</si>
  <si>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</si>
  <si>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</si>
  <si>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</si>
  <si>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</si>
  <si>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</si>
  <si>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</si>
  <si>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</si>
  <si>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</si>
  <si>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</si>
  <si>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</si>
  <si>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</si>
  <si>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</si>
  <si>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</si>
  <si>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</si>
  <si>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</si>
  <si>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</si>
  <si>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</si>
  <si>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</si>
  <si>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</si>
  <si>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</si>
  <si>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</si>
  <si>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</si>
  <si>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</si>
  <si>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</si>
  <si>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</si>
  <si>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</si>
  <si>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</si>
  <si>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</si>
  <si>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</si>
  <si>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</si>
  <si>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</si>
  <si>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</si>
  <si>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</si>
  <si>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</si>
  <si>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</si>
  <si>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</si>
  <si>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</si>
  <si>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</si>
  <si>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</si>
  <si>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FOB unitario (US$)</t>
  </si>
  <si>
    <t xml:space="preserve">FOB total (US$)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</si>
  <si>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</si>
  <si>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</si>
  <si>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</si>
  <si>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</si>
  <si>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</si>
  <si>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</si>
  <si>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</si>
  <si>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Total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</si>
  <si>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</si>
  <si>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</si>
  <si>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</si>
  <si>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Cantidad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</si>
  <si>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</si>
  <si>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</si>
  <si>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</si>
  <si>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</si>
  <si>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</si>
  <si>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</si>
  <si>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</si>
  <si>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</si>
  <si>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</si>
  <si>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</si>
  <si>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</si>
  <si>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</si>
  <si>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</si>
  <si>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</si>
  <si>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</si>
  <si>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</si>
  <si>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</si>
  <si>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</si>
  <si>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</si>
  <si>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</si>
  <si>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</si>
  <si>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</si>
  <si>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</si>
  <si>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</si>
  <si>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</si>
  <si>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</si>
  <si>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</si>
  <si>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</si>
  <si>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</si>
  <si>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</si>
  <si>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</si>
  <si>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</si>
  <si>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</si>
  <si>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</si>
  <si>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</si>
  <si>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</si>
  <si>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</si>
  <si>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</si>
  <si>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</si>
  <si>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</si>
  <si>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</si>
  <si>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</si>
  <si>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</si>
  <si>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</si>
  <si>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</si>
  <si>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</si>
  <si>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</si>
  <si>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</si>
  <si>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</si>
  <si>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</si>
  <si>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</si>
  <si>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</si>
  <si>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</si>
  <si>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</si>
  <si>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</si>
  <si>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</si>
  <si>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</si>
  <si>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</si>
  <si>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</si>
  <si>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</si>
  <si>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</si>
  <si>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</si>
  <si>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</si>
  <si>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</si>
  <si>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</si>
  <si>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</si>
  <si>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Kit 3 en 1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</si>
  <si>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</si>
  <si>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</si>
  <si>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</si>
  <si>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</si>
  <si>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Entrada: lleva publicidad (1 = si, 0 = no)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</si>
  <si>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</si>
  <si>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</si>
  <si>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</si>
  <si>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21-abr-2026, Anexo 3 de tarifas y respuestas de The Hub por WhatsApp (19-oct-2026). Sin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</si>
  <si>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</si>
  <si>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</si>
  <si>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</si>
  <si>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 - condiciones confirmadas</t>
  </si>
  <si>
    <t xml:space="preserve">Gestion por orden (S/)</t>
  </si>
  <si>
    <t xml:space="preserve">Proforma.</t>
  </si>
  <si>
    <t xml:space="preserve">Envio estandar Lima, tarifa ponderada hasta 3 kg (S/)</t>
  </si>
  <si>
    <t xml:space="preserve">The Hub: la tarifa urbana subio a S/ 8.00; mixtos casi siempre urbano; periferico 9.50; periferico 2: 10.50. 8.75 = ponderacion ESTIMADA con una muestra de 9 pedidos.</t>
  </si>
  <si>
    <t xml:space="preserve">Kg adicional sobre 3 kg (S/)</t>
  </si>
  <si>
    <t xml:space="preserve">Urbano 1.5, periferico 2.0. Peso facturable = largo x alto x ancho / 5000.</t>
  </si>
  <si>
    <t xml:space="preserve">Cobro contraentrega en efectivo o tarjeta (% del valor)</t>
  </si>
  <si>
    <t xml:space="preserve">The Hub: 4.5% en efectivo o tarjeta; no lo bajan. Solo se cobra cuando cobran. El POS permite cuotas pero NO cuotas sin intereses.</t>
  </si>
  <si>
    <t xml:space="preserve">Cobro contraentrega en billeteras (Yape/Plin)</t>
  </si>
  <si>
    <t xml:space="preserve">The Hub: pueden bajarlo a 2.5%.</t>
  </si>
  <si>
    <t xml:space="preserve">% de clientes que pagan con billetera al recibir</t>
  </si>
  <si>
    <t xml:space="preserve">SUPUESTO ilustrativo. Reemplazar con datos reales.</t>
  </si>
  <si>
    <t xml:space="preserve">Retorno por pedido no entregado (S/)</t>
  </si>
  <si>
    <t xml:space="preserve">Hay un reintento gratis; el retorno al almacen cuesta S/ 1. Reenviar vuelve a cobrar el envio.</t>
  </si>
  <si>
    <t xml:space="preserve">¿El cobro de The Hub incluye la comision de tarjeta? (1 = si, 0 = no)</t>
  </si>
  <si>
    <t xml:space="preserve">CONFIRMADO por The Hub: el 4.5% incluye la tarjeta.</t>
  </si>
  <si>
    <t xml:space="preserve">Almacen (US$ por m3 al mes)</t>
  </si>
  <si>
    <t xml:space="preserve">Confirmado: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</si>
  <si>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</si>
  <si>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</si>
  <si>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</si>
  <si>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 (el reintento gratis podria subirla).</t>
  </si>
  <si>
    <t xml:space="preserve">Recepcion de mercaderia: costo por hora-hombre (S/)</t>
  </si>
  <si>
    <t xml:space="preserve">The Hub: S/ 114 por hora-hombre.</t>
  </si>
  <si>
    <t xml:space="preserve">Cartones descargados por hora-hombre</t>
  </si>
  <si>
    <t xml:space="preserve">ESTIMACION mia (cartones de ~20 kg a mano, incluye conteo y acomodo). Paletizado seria mucho mas rapido. Pedir dato real.</t>
  </si>
  <si>
    <t xml:space="preserve">Pedidos al mes que pasarian por The Hub</t>
  </si>
  <si>
    <t xml:space="preserve">SUPUESTO. Ajustar a tu volumen en Lima.</t>
  </si>
  <si>
    <t xml:space="preserve">Minimo de pedidos al mes (se paga el empaque faltante)</t>
  </si>
  <si>
    <t xml:space="preserve">The Hub: si no se llega a 150, se paga el empaque que falta.</t>
  </si>
  <si>
    <t xml:space="preserve">Cobro contraentrega promedio (% del valor)</t>
  </si>
  <si>
    <t xml:space="preserve">Gestion efectiva por pedido (S/), con el minimo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</si>
  <si>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</si>
  <si>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</si>
  <si>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</si>
  <si>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  incluye comision de pago (S/, negativa)</t>
  </si>
  <si>
    <t xml:space="preserve">Volumen por unidad (m3)</t>
  </si>
  <si>
    <t xml:space="preserve">Peso facturable (kg)</t>
  </si>
  <si>
    <t xml:space="preserve">Unidades por carton</t>
  </si>
  <si>
    <t xml:space="preserve">ACTUAL: logistica por pedido colocado</t>
  </si>
  <si>
    <t xml:space="preserve">ACTUAL: utilidad antes de publicidad</t>
  </si>
  <si>
    <t xml:space="preserve">HUB: gestion (con minimo) + envio</t>
  </si>
  <si>
    <t xml:space="preserve">HUB: cobro contraentrega esperado</t>
  </si>
  <si>
    <t xml:space="preserve">HUB: retorno de no entregados</t>
  </si>
  <si>
    <t xml:space="preserve">HUB: almacen</t>
  </si>
  <si>
    <t xml:space="preserve">HUB: recepcion de mercaderia por unidad</t>
  </si>
  <si>
    <t xml:space="preserve">HUB: transporte de tu almacen a The Hub por pedido</t>
  </si>
  <si>
    <t xml:space="preserve">HUB: logistica por pedido colocado</t>
  </si>
  <si>
    <t xml:space="preserve">HUB: margen por pedido entregado (sin la comision de tarjeta, que incluye el cobro)</t>
  </si>
  <si>
    <t xml:space="preserve">HUB: utilidad antes de publicidad</t>
  </si>
  <si>
    <t xml:space="preserve">Diferencia Hub - actual (utilidad por pedido)</t>
  </si>
  <si>
    <t xml:space="preserve">Alza de entrega que iguala (puntos)</t>
  </si>
  <si>
    <t xml:space="preserve">Cobro contraentrega promedio que iguala (% del valor)</t>
  </si>
  <si>
    <t xml:space="preserve">Sensibilidad: diferencia Hub - actual por pedido de Nativo 3 años segun pedidos al mes (por el minimo de 150)</t>
  </si>
  <si>
    <t xml:space="preserve">Pedidos al mes en The Hub</t>
  </si>
  <si>
    <t xml:space="preserve">Diferencia por pedido (S/)</t>
  </si>
  <si>
    <t xml:space="preserve">Lectura: diferencia negativa = The Hub cuesta mas a igual tasa de entrega. "Alza de entrega" = puntos que debe mejorar para compensar. Ultima fila de la tabla = cobro contraentrega promedio con el que quedas igual.</t>
  </si>
  <si>
    <t xml:space="preserve">Condiciones de The Hub: el POS NO hace cuotas sin intereses; en provincia NO hay contraentrega (se maneja por agencias); el seguro en ruta es de S/ 300 por ruta y el del Cero depende de la agencia.</t>
  </si>
  <si>
    <t xml:space="preserve">No incluye: beneficio tributario de la factura de The Hub (IGV y gasto deducible) (el transporte desde tu almacen a The Hub viene de la hoja Stock_Hub). Para bidones y Cero el courier actual (S/ 12.5) es solo una referencia.</t>
  </si>
  <si>
    <t xml:space="preserve">Plan de stock en The Hub: tandas desde tu almacen propio</t>
  </si>
  <si>
    <t xml:space="preserve">Idea: dejar en The Hub solo lo que se vende en unas dos semanas y reponer por tandas. Azul = supuesto editable (la mezcla de pedidos es ilustrativa).</t>
  </si>
  <si>
    <t xml:space="preserve">Pedidos por dia en Lima que pasan por The Hub</t>
  </si>
  <si>
    <t xml:space="preserve">Viene de Courier_Hub (pedidos al mes / 30). 150 pedidos al mes = minimo de The Hub.</t>
  </si>
  <si>
    <t xml:space="preserve">Dias de venta que cubre cada tanda</t>
  </si>
  <si>
    <t xml:space="preserve">Tandas mensuales: el almacen es barato (US$ 20 por m3) y cada viaje tiene costo fijo.</t>
  </si>
  <si>
    <t xml:space="preserve">Dias de stock de seguridad en The Hub</t>
  </si>
  <si>
    <t xml:space="preserve">Horas minimas facturables por recepcion</t>
  </si>
  <si>
    <t xml:space="preserve">SUPUESTO: se asume 1 hora como minimo.</t>
  </si>
  <si>
    <t xml:space="preserve">Transporte de tu almacen a The Hub, por tanda (S/)</t>
  </si>
  <si>
    <t xml:space="preserve">SUPUESTO. El anexo de tarifas trae S/ 200 por pallet para envios a CD / reposicion; confirmar si es esto.</t>
  </si>
  <si>
    <t xml:space="preserve">Costo por hora-hombre (S/)</t>
  </si>
  <si>
    <t xml:space="preserve">% de pedidos</t>
  </si>
  <si>
    <t xml:space="preserve">Unidades por tanda</t>
  </si>
  <si>
    <t xml:space="preserve">Cartones por tanda</t>
  </si>
  <si>
    <t xml:space="preserve">m3 por unidad</t>
  </si>
  <si>
    <t xml:space="preserve">m3 ocupados</t>
  </si>
  <si>
    <t xml:space="preserve">Nativo</t>
  </si>
  <si>
    <t xml:space="preserve">Vivo</t>
  </si>
  <si>
    <t xml:space="preserve">Costo mensual de tener stock en The Hub (S/)</t>
  </si>
  <si>
    <t xml:space="preserve">Horas de recepcion por tanda</t>
  </si>
  <si>
    <t xml:space="preserve">Costo de recepcion por tanda</t>
  </si>
  <si>
    <t xml:space="preserve">Tandas por mes</t>
  </si>
  <si>
    <t xml:space="preserve">Recepcion al mes</t>
  </si>
  <si>
    <t xml:space="preserve">Transporte al mes</t>
  </si>
  <si>
    <t xml:space="preserve">Almacen al mes (m3 ocupados al maximo)</t>
  </si>
  <si>
    <t xml:space="preserve">Total almacen + recepcion + transporte</t>
  </si>
  <si>
    <t xml:space="preserve">Pedidos al mes</t>
  </si>
  <si>
    <t xml:space="preserve">Gestion facturable al mes (con minimo)</t>
  </si>
  <si>
    <t xml:space="preserve">Costo por pedido en The Hub (sin envio ni cobro)</t>
  </si>
  <si>
    <t xml:space="preserve">Costo por pedido actual (empaque + almacen Tecretail)</t>
  </si>
  <si>
    <t xml:space="preserve">Diferencia por pedido (Hub - actual)</t>
  </si>
  <si>
    <t xml:space="preserve">Estimacion por tanda: sirve para ver el orden de magnitud. Las horas de descarga son estimadas (30 cartones por hora-hombre); si mandas en pallets, bajan mucho. El costo por pedido actual usa el empaque y el almacen de Tecretail de la hoja Supuestos.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</si>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</sst>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#,##0.0;\(#,##0.0\);\-"/>
    <numFmt numFmtId="167" formatCode="0.0"/>
    <numFmt numFmtId="168" formatCode="0"/>
    <numFmt numFmtId="169" formatCode="#,##0"/>
    <numFmt numFmtId="170" formatCode="#,##0.00;\(#,##0.00\);\-"/>
    <numFmt numFmtId="171" formatCode="0.0%;\(0.0%\);\-"/>
    <numFmt numFmtId="172" formatCode="0.000"/>
    <numFmt numFmtId="173" formatCode="0.00"/>
    <numFmt numFmtId="174" formatCode="0.00%"/>
    <numFmt numFmtId="175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Plan_Conservador!Y7</f>
        <v>52843.1728103343</v>
      </c>
      <c r="C5" s="5" t="n">
        <f aca="false">Plan_Base!Y7</f>
        <v>121971.125366537</v>
      </c>
      <c r="D5" s="5" t="n">
        <f aca="false">Plan_Ambicioso!Y7</f>
        <v>224023.118017472</v>
      </c>
    </row>
    <row r="6" customFormat="false" ht="15" hidden="false" customHeight="false" outlineLevel="0" collapsed="false">
      <c r="A6" s="4" t="s">
        <v>7</v>
      </c>
      <c r="B6" s="6" t="n">
        <f aca="false">Plan_Conservador!Y9</f>
        <v>131.551101651566</v>
      </c>
      <c r="C6" s="6" t="n">
        <f aca="false">Plan_Base!Y9</f>
        <v>99.7716085219951</v>
      </c>
      <c r="D6" s="6" t="n">
        <f aca="false">Plan_Ambicioso!Y9</f>
        <v>66.8084663297557</v>
      </c>
    </row>
    <row r="7" customFormat="false" ht="15" hidden="false" customHeight="false" outlineLevel="0" collapsed="false">
      <c r="A7" s="4" t="s">
        <v>8</v>
      </c>
      <c r="B7" s="7" t="n">
        <f aca="false">Plan_Conservador!Y13</f>
        <v>14.7287478304635</v>
      </c>
      <c r="C7" s="7" t="n">
        <f aca="false">Plan_Base!Y13</f>
        <v>46.8626283065941</v>
      </c>
      <c r="D7" s="7" t="n">
        <f aca="false">Plan_Ambicioso!Y13</f>
        <v>134.128579998667</v>
      </c>
    </row>
    <row r="8" customFormat="false" ht="15" hidden="false" customHeight="false" outlineLevel="0" collapsed="false">
      <c r="A8" s="4" t="s">
        <v>9</v>
      </c>
      <c r="B8" s="5" t="n">
        <f aca="false">Plan_Conservador!M32</f>
        <v>16123.282810785</v>
      </c>
      <c r="C8" s="5" t="n">
        <f aca="false">Plan_Base!M32</f>
        <v>69477.358414112</v>
      </c>
      <c r="D8" s="5" t="n">
        <f aca="false">Plan_Ambicioso!M32</f>
        <v>186413.603641063</v>
      </c>
    </row>
    <row r="9" customFormat="false" ht="15" hidden="false" customHeight="false" outlineLevel="0" collapsed="false">
      <c r="A9" s="4" t="s">
        <v>10</v>
      </c>
      <c r="B9" s="5" t="n">
        <f aca="false">Plan_Conservador!Y32</f>
        <v>34580.3476867926</v>
      </c>
      <c r="C9" s="5" t="n">
        <f aca="false">Plan_Base!Y32</f>
        <v>223945.099338402</v>
      </c>
      <c r="D9" s="5" t="n">
        <f aca="false">Plan_Ambicioso!Y32</f>
        <v>898625.635102676</v>
      </c>
    </row>
    <row r="10" customFormat="false" ht="15" hidden="false" customHeight="false" outlineLevel="0" collapsed="false">
      <c r="A10" s="8" t="s">
        <v>11</v>
      </c>
      <c r="B10" s="9" t="n">
        <f aca="false">Plan_Conservador!Y34/Plan_Supuestos!$B$13</f>
        <v>89182.3042351686</v>
      </c>
      <c r="C10" s="9" t="n">
        <f aca="false">Plan_Base!Y34/Plan_Supuestos!$B$13</f>
        <v>494513.385775775</v>
      </c>
      <c r="D10" s="9" t="n">
        <f aca="false">Plan_Ambicioso!Y34/Plan_Supuestos!$B$13</f>
        <v>1726366.05901474</v>
      </c>
    </row>
    <row r="11" customFormat="false" ht="15" hidden="false" customHeight="false" outlineLevel="0" collapsed="false">
      <c r="A11" s="8" t="s">
        <v>12</v>
      </c>
      <c r="B11" s="9" t="n">
        <f aca="false">Plan_Conservador!Y36</f>
        <v>118561.192069003</v>
      </c>
      <c r="C11" s="9" t="n">
        <f aca="false">Plan_Base!Y36</f>
        <v>767811.769160236</v>
      </c>
      <c r="D11" s="9" t="n">
        <f aca="false">Plan_Ambicioso!Y36</f>
        <v>3081002.17749489</v>
      </c>
    </row>
    <row r="12" customFormat="false" ht="15" hidden="false" customHeight="false" outlineLevel="0" collapsed="false">
      <c r="A12" s="4" t="s">
        <v>13</v>
      </c>
      <c r="B12" s="5" t="n">
        <f aca="false">Plan_Conservador!Y33/Plan_Supuestos!$B$13</f>
        <v>115226.327652791</v>
      </c>
      <c r="C12" s="5" t="n">
        <f aca="false">Plan_Base!Y33/Plan_Supuestos!$B$13</f>
        <v>609338.852913087</v>
      </c>
      <c r="D12" s="5" t="n">
        <f aca="false">Plan_Ambicioso!Y33/Plan_Supuestos!$B$13</f>
        <v>2001755.63762885</v>
      </c>
    </row>
    <row r="13" customFormat="false" ht="15" hidden="false" customHeight="false" outlineLevel="0" collapsed="false">
      <c r="A13" s="4" t="s">
        <v>14</v>
      </c>
      <c r="B13" s="10" t="str">
        <f aca="false">IFERROR(MATCH(1,Plan_Conservador!B37:Y37,0),"no en 24 meses")</f>
        <v>no en 24 meses</v>
      </c>
      <c r="C13" s="10" t="str">
        <f aca="false">IFERROR(MATCH(1,Plan_Base!B37:Y37,0),"no en 24 meses")</f>
        <v>no en 24 meses</v>
      </c>
      <c r="D13" s="10" t="n">
        <f aca="false">IFERROR(MATCH(1,Plan_Ambicioso!B37:Y37,0),"no en 24 meses")</f>
        <v>16</v>
      </c>
    </row>
    <row r="14" customFormat="false" ht="15" hidden="false" customHeight="false" outlineLevel="0" collapsed="false">
      <c r="A14" s="4" t="s">
        <v>15</v>
      </c>
      <c r="B14" s="5" t="n">
        <f aca="false">-MIN(0,MIN(Plan_Conservador!B42:Y42))</f>
        <v>-0</v>
      </c>
      <c r="C14" s="5" t="n">
        <f aca="false">-MIN(0,MIN(Plan_Base!B42:Y42))</f>
        <v>-0</v>
      </c>
      <c r="D14" s="5" t="n">
        <f aca="false">-MIN(0,MIN(Plan_Ambicioso!B42:Y42))</f>
        <v>-0</v>
      </c>
    </row>
    <row r="16" customFormat="false" ht="15" hidden="false" customHeight="false" outlineLevel="0" collapsed="false">
      <c r="A16" s="2" t="s">
        <v>16</v>
      </c>
    </row>
    <row r="18" customFormat="false" ht="15" hidden="false" customHeight="false" outlineLevel="0" collapsed="false">
      <c r="A18" s="11" t="s">
        <v>17</v>
      </c>
      <c r="B18" s="12"/>
      <c r="C18" s="12"/>
      <c r="D18" s="12"/>
      <c r="E18" s="12"/>
      <c r="F18" s="12"/>
      <c r="G18" s="12"/>
    </row>
    <row r="19" customFormat="false" ht="43.5" hidden="false" customHeight="true" outlineLevel="0" collapsed="false">
      <c r="A19" s="13" t="s">
        <v>18</v>
      </c>
      <c r="B19" s="13" t="s">
        <v>19</v>
      </c>
      <c r="C19" s="13" t="s">
        <v>20</v>
      </c>
      <c r="D19" s="13" t="s">
        <v>21</v>
      </c>
      <c r="E19" s="13" t="s">
        <v>22</v>
      </c>
      <c r="F19" s="13" t="s">
        <v>23</v>
      </c>
      <c r="G19" s="13" t="s">
        <v>24</v>
      </c>
    </row>
    <row r="20" customFormat="false" ht="15" hidden="false" customHeight="false" outlineLevel="0" collapsed="false">
      <c r="A20" s="4" t="s">
        <v>25</v>
      </c>
      <c r="B20" s="14" t="n">
        <f aca="false">SUM(Plan_Base!F43:K43)</f>
        <v>1609.77184725224</v>
      </c>
      <c r="C20" s="14" t="n">
        <f aca="false">B20*(1+$B$27)</f>
        <v>1931.72621670268</v>
      </c>
      <c r="D20" s="15" t="n">
        <v>450</v>
      </c>
      <c r="E20" s="16" t="n">
        <f aca="false">MAX(0,C20-D20)</f>
        <v>1481.72621670268</v>
      </c>
      <c r="F20" s="17" t="n">
        <f aca="false">Costo_Lima!F35</f>
        <v>22.4199114837147</v>
      </c>
      <c r="G20" s="5" t="n">
        <f aca="false">E20*F20</f>
        <v>33220.1706215736</v>
      </c>
    </row>
    <row r="21" customFormat="false" ht="15" hidden="false" customHeight="false" outlineLevel="0" collapsed="false">
      <c r="A21" s="4" t="s">
        <v>26</v>
      </c>
      <c r="B21" s="14" t="n">
        <f aca="false">SUM(Plan_Base!F44:K44)</f>
        <v>2102.69344213635</v>
      </c>
      <c r="C21" s="14" t="n">
        <f aca="false">B21*(1+$B$27)</f>
        <v>2523.23213056361</v>
      </c>
      <c r="D21" s="15" t="n">
        <v>600</v>
      </c>
      <c r="E21" s="16" t="n">
        <f aca="false">MAX(0,C21-D21)</f>
        <v>1923.23213056361</v>
      </c>
      <c r="F21" s="17" t="n">
        <f aca="false">Costo_Lima!F36</f>
        <v>2.51652067674348</v>
      </c>
      <c r="G21" s="5" t="n">
        <f aca="false">E21*F21</f>
        <v>4839.85342274075</v>
      </c>
    </row>
    <row r="22" customFormat="false" ht="15" hidden="false" customHeight="false" outlineLevel="0" collapsed="false">
      <c r="A22" s="4" t="s">
        <v>27</v>
      </c>
      <c r="B22" s="14" t="n">
        <f aca="false">SUM(Plan_Base!F45:K45)</f>
        <v>277.015897334984</v>
      </c>
      <c r="C22" s="14" t="n">
        <f aca="false">B22*(1+$B$27)</f>
        <v>332.419076801981</v>
      </c>
      <c r="D22" s="15" t="n">
        <v>0</v>
      </c>
      <c r="E22" s="16" t="n">
        <f aca="false">MAX(0,C22-D22)</f>
        <v>332.419076801981</v>
      </c>
      <c r="F22" s="17" t="n">
        <f aca="false">Costo_Lima!F37</f>
        <v>16.2429970953443</v>
      </c>
      <c r="G22" s="5" t="n">
        <f aca="false">E22*F22</f>
        <v>5399.48209893161</v>
      </c>
    </row>
    <row r="23" customFormat="false" ht="15" hidden="false" customHeight="false" outlineLevel="0" collapsed="false">
      <c r="A23" s="4" t="s">
        <v>28</v>
      </c>
      <c r="B23" s="14" t="n">
        <f aca="false">SUM(Plan_Base!F46:K46)</f>
        <v>87.2493581976418</v>
      </c>
      <c r="C23" s="14" t="n">
        <f aca="false">B23*(1+$B$27)</f>
        <v>104.69922983717</v>
      </c>
      <c r="D23" s="15" t="n">
        <v>804</v>
      </c>
      <c r="E23" s="16" t="n">
        <f aca="false">MAX(0,C23-D23)</f>
        <v>0</v>
      </c>
      <c r="F23" s="17" t="n">
        <f aca="false">Contenedor2!F71</f>
        <v>47.5489513777738</v>
      </c>
      <c r="G23" s="5" t="n">
        <f aca="false">E23*F23</f>
        <v>0</v>
      </c>
    </row>
    <row r="24" customFormat="false" ht="15" hidden="false" customHeight="false" outlineLevel="0" collapsed="false">
      <c r="A24" s="4" t="s">
        <v>29</v>
      </c>
      <c r="B24" s="14" t="n">
        <f aca="false">SUM(Plan_Base!F47:K47)</f>
        <v>35.9907677277916</v>
      </c>
      <c r="C24" s="14" t="n">
        <f aca="false">B24*(1+$B$27)</f>
        <v>43.1889212733499</v>
      </c>
      <c r="D24" s="15" t="n">
        <v>804</v>
      </c>
      <c r="E24" s="16" t="n">
        <f aca="false">MAX(0,C24-D24)</f>
        <v>0</v>
      </c>
      <c r="F24" s="17" t="n">
        <f aca="false">Contenedor2!F72</f>
        <v>39.8415917230648</v>
      </c>
      <c r="G24" s="5" t="n">
        <f aca="false">E24*F24</f>
        <v>0</v>
      </c>
    </row>
    <row r="25" customFormat="false" ht="15" hidden="false" customHeight="false" outlineLevel="0" collapsed="false">
      <c r="A25" s="4" t="s">
        <v>30</v>
      </c>
      <c r="B25" s="14" t="n">
        <f aca="false">SUM(Plan_Base!F48:K48)</f>
        <v>66.5264132119089</v>
      </c>
      <c r="C25" s="14" t="n">
        <f aca="false">B25*(1+$B$27)</f>
        <v>79.8316958542906</v>
      </c>
      <c r="D25" s="15" t="n">
        <v>100</v>
      </c>
      <c r="E25" s="16" t="n">
        <f aca="false">MAX(0,C25-D25)</f>
        <v>0</v>
      </c>
      <c r="F25" s="17" t="n">
        <f aca="false">Contenedor2!F74</f>
        <v>635.123072896298</v>
      </c>
      <c r="G25" s="5" t="n">
        <f aca="false">E25*F25</f>
        <v>0</v>
      </c>
    </row>
    <row r="26" customFormat="false" ht="15" hidden="false" customHeight="false" outlineLevel="0" collapsed="false">
      <c r="A26" s="8" t="s">
        <v>31</v>
      </c>
      <c r="G26" s="18" t="n">
        <f aca="false">SUM(G20:G25)</f>
        <v>43459.506143246</v>
      </c>
    </row>
    <row r="27" customFormat="false" ht="15" hidden="false" customHeight="false" outlineLevel="0" collapsed="false">
      <c r="A27" s="4" t="s">
        <v>32</v>
      </c>
      <c r="B27" s="19" t="n">
        <v>0.2</v>
      </c>
    </row>
    <row r="28" customFormat="false" ht="15" hidden="false" customHeight="false" outlineLevel="0" collapsed="false">
      <c r="A28" s="2" t="s">
        <v>33</v>
      </c>
    </row>
    <row r="29" customFormat="false" ht="15" hidden="false" customHeight="false" outlineLevel="0" collapsed="false">
      <c r="A29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9"/>
    <col collapsed="false" customWidth="true" hidden="false" outlineLevel="0" max="3" min="3" style="0" width="22"/>
    <col collapsed="false" customWidth="true" hidden="false" outlineLevel="0" max="10" min="4" style="0" width="19"/>
  </cols>
  <sheetData>
    <row r="1" customFormat="false" ht="17.35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15" hidden="false" customHeight="false" outlineLevel="0" collapsed="false">
      <c r="A4" s="13" t="s">
        <v>37</v>
      </c>
      <c r="B4" s="13" t="s">
        <v>38</v>
      </c>
      <c r="C4" s="13" t="s">
        <v>39</v>
      </c>
    </row>
    <row r="5" customFormat="false" ht="15" hidden="false" customHeight="false" outlineLevel="0" collapsed="false">
      <c r="A5" s="4" t="s">
        <v>40</v>
      </c>
      <c r="B5" s="20" t="n">
        <v>4.5</v>
      </c>
      <c r="C5" s="2" t="s">
        <v>41</v>
      </c>
    </row>
    <row r="6" customFormat="false" ht="15" hidden="false" customHeight="false" outlineLevel="0" collapsed="false">
      <c r="A6" s="4" t="s">
        <v>42</v>
      </c>
      <c r="B6" s="15" t="n">
        <v>9000</v>
      </c>
      <c r="C6" s="2" t="s">
        <v>43</v>
      </c>
    </row>
    <row r="7" customFormat="false" ht="15" hidden="false" customHeight="false" outlineLevel="0" collapsed="false">
      <c r="A7" s="4" t="s">
        <v>44</v>
      </c>
      <c r="B7" s="21" t="n">
        <v>60</v>
      </c>
      <c r="C7" s="2" t="s">
        <v>45</v>
      </c>
    </row>
    <row r="8" customFormat="false" ht="15" hidden="false" customHeight="false" outlineLevel="0" collapsed="false">
      <c r="A8" s="4" t="s">
        <v>46</v>
      </c>
      <c r="B8" s="22" t="n">
        <v>0.75</v>
      </c>
      <c r="C8" s="2" t="s">
        <v>47</v>
      </c>
    </row>
    <row r="9" customFormat="false" ht="15" hidden="false" customHeight="false" outlineLevel="0" collapsed="false">
      <c r="A9" s="4" t="s">
        <v>48</v>
      </c>
      <c r="B9" s="21" t="n">
        <v>15000</v>
      </c>
      <c r="C9" s="2" t="s">
        <v>49</v>
      </c>
    </row>
    <row r="10" customFormat="false" ht="15" hidden="false" customHeight="false" outlineLevel="0" collapsed="false">
      <c r="A10" s="4" t="s">
        <v>50</v>
      </c>
      <c r="B10" s="23" t="n">
        <v>8</v>
      </c>
      <c r="C10" s="2" t="s">
        <v>51</v>
      </c>
    </row>
    <row r="11" customFormat="false" ht="15" hidden="false" customHeight="false" outlineLevel="0" collapsed="false">
      <c r="A11" s="4" t="s">
        <v>52</v>
      </c>
      <c r="B11" s="24" t="n">
        <v>5</v>
      </c>
      <c r="C11" s="2" t="s">
        <v>53</v>
      </c>
    </row>
    <row r="12" customFormat="false" ht="15" hidden="false" customHeight="false" outlineLevel="0" collapsed="false">
      <c r="A12" s="4" t="s">
        <v>54</v>
      </c>
      <c r="B12" s="22" t="n">
        <v>0</v>
      </c>
      <c r="C12" s="2" t="s">
        <v>55</v>
      </c>
    </row>
    <row r="13" customFormat="false" ht="15" hidden="false" customHeight="false" outlineLevel="0" collapsed="false">
      <c r="A13" s="4" t="s">
        <v>56</v>
      </c>
      <c r="B13" s="25" t="n">
        <f aca="false">Supuestos!B5</f>
        <v>3.5</v>
      </c>
      <c r="C13" s="2"/>
    </row>
    <row r="14" customFormat="false" ht="15" hidden="false" customHeight="false" outlineLevel="0" collapsed="false">
      <c r="A14" s="4" t="s">
        <v>57</v>
      </c>
      <c r="B14" s="15" t="n">
        <v>1000000</v>
      </c>
      <c r="C14" s="2"/>
    </row>
    <row r="16" customFormat="false" ht="15" hidden="false" customHeight="false" outlineLevel="0" collapsed="false">
      <c r="A16" s="13" t="s">
        <v>58</v>
      </c>
      <c r="B16" s="13" t="s">
        <v>3</v>
      </c>
      <c r="C16" s="13" t="s">
        <v>4</v>
      </c>
      <c r="D16" s="13" t="s">
        <v>5</v>
      </c>
      <c r="E16" s="13" t="s">
        <v>39</v>
      </c>
    </row>
    <row r="17" customFormat="false" ht="15" hidden="false" customHeight="false" outlineLevel="0" collapsed="false">
      <c r="A17" s="4" t="s">
        <v>59</v>
      </c>
      <c r="B17" s="23" t="n">
        <v>80</v>
      </c>
      <c r="C17" s="23" t="n">
        <v>65</v>
      </c>
      <c r="D17" s="23" t="n">
        <v>55</v>
      </c>
      <c r="E17" s="2" t="s">
        <v>60</v>
      </c>
    </row>
    <row r="18" customFormat="false" ht="15" hidden="false" customHeight="false" outlineLevel="0" collapsed="false">
      <c r="A18" s="4" t="s">
        <v>61</v>
      </c>
      <c r="B18" s="26" t="n">
        <v>0.35</v>
      </c>
      <c r="C18" s="26" t="n">
        <v>0.25</v>
      </c>
      <c r="D18" s="26" t="n">
        <v>0.15</v>
      </c>
      <c r="E18" s="2" t="s">
        <v>62</v>
      </c>
    </row>
    <row r="19" customFormat="false" ht="15" hidden="false" customHeight="false" outlineLevel="0" collapsed="false">
      <c r="A19" s="4" t="s">
        <v>63</v>
      </c>
      <c r="B19" s="22" t="n">
        <v>0.08</v>
      </c>
      <c r="C19" s="22" t="n">
        <v>0.12</v>
      </c>
      <c r="D19" s="22" t="n">
        <v>0.15</v>
      </c>
      <c r="E19" s="2"/>
    </row>
    <row r="20" customFormat="false" ht="15" hidden="false" customHeight="false" outlineLevel="0" collapsed="false">
      <c r="A20" s="4" t="s">
        <v>64</v>
      </c>
      <c r="B20" s="15" t="n">
        <v>150000</v>
      </c>
      <c r="C20" s="15" t="n">
        <v>250000</v>
      </c>
      <c r="D20" s="15" t="n">
        <v>400000</v>
      </c>
      <c r="E20" s="2"/>
    </row>
    <row r="21" customFormat="false" ht="15" hidden="false" customHeight="false" outlineLevel="0" collapsed="false">
      <c r="A21" s="4" t="s">
        <v>65</v>
      </c>
      <c r="B21" s="22" t="n">
        <v>0.005</v>
      </c>
      <c r="C21" s="22" t="n">
        <v>0.01</v>
      </c>
      <c r="D21" s="22" t="n">
        <v>0.015</v>
      </c>
      <c r="E21" s="2" t="s">
        <v>66</v>
      </c>
    </row>
    <row r="22" customFormat="false" ht="15" hidden="false" customHeight="false" outlineLevel="0" collapsed="false">
      <c r="A22" s="4" t="s">
        <v>67</v>
      </c>
      <c r="B22" s="22" t="n">
        <v>0.15</v>
      </c>
      <c r="C22" s="22" t="n">
        <v>0.2</v>
      </c>
      <c r="D22" s="22" t="n">
        <v>0.25</v>
      </c>
      <c r="E22" s="2"/>
    </row>
    <row r="23" customFormat="false" ht="15" hidden="false" customHeight="false" outlineLevel="0" collapsed="false">
      <c r="A23" s="4" t="s">
        <v>68</v>
      </c>
      <c r="B23" s="22" t="n">
        <v>0.1</v>
      </c>
      <c r="C23" s="22" t="n">
        <v>0.15</v>
      </c>
      <c r="D23" s="22" t="n">
        <v>0.2</v>
      </c>
      <c r="E23" s="2" t="s">
        <v>69</v>
      </c>
    </row>
    <row r="24" customFormat="false" ht="15" hidden="false" customHeight="false" outlineLevel="0" collapsed="false">
      <c r="A24" s="4" t="s">
        <v>70</v>
      </c>
      <c r="B24" s="22" t="n">
        <v>0.08</v>
      </c>
      <c r="C24" s="22" t="n">
        <v>0.12</v>
      </c>
      <c r="D24" s="22" t="n">
        <v>0.16</v>
      </c>
      <c r="E24" s="2" t="s">
        <v>71</v>
      </c>
    </row>
    <row r="25" customFormat="false" ht="15" hidden="false" customHeight="false" outlineLevel="0" collapsed="false">
      <c r="A25" s="4" t="s">
        <v>72</v>
      </c>
      <c r="B25" s="19" t="n">
        <v>0.04</v>
      </c>
      <c r="C25" s="19" t="n">
        <v>0.06</v>
      </c>
      <c r="D25" s="19" t="n">
        <v>0.08</v>
      </c>
      <c r="E25" s="2" t="s">
        <v>73</v>
      </c>
    </row>
    <row r="26" customFormat="false" ht="15" hidden="false" customHeight="false" outlineLevel="0" collapsed="false">
      <c r="A26" s="4" t="s">
        <v>74</v>
      </c>
      <c r="B26" s="22" t="n">
        <v>0</v>
      </c>
      <c r="C26" s="22" t="n">
        <v>0.05</v>
      </c>
      <c r="D26" s="22" t="n">
        <v>0.1</v>
      </c>
      <c r="E26" s="2" t="s">
        <v>75</v>
      </c>
    </row>
    <row r="29" customFormat="false" ht="57.75" hidden="false" customHeight="true" outlineLevel="0" collapsed="false">
      <c r="A29" s="13" t="s">
        <v>18</v>
      </c>
      <c r="B29" s="13" t="s">
        <v>76</v>
      </c>
      <c r="C29" s="13" t="s">
        <v>77</v>
      </c>
      <c r="D29" s="13" t="s">
        <v>78</v>
      </c>
      <c r="E29" s="13" t="s">
        <v>79</v>
      </c>
      <c r="F29" s="13" t="s">
        <v>80</v>
      </c>
      <c r="G29" s="13" t="s">
        <v>81</v>
      </c>
      <c r="H29" s="13" t="s">
        <v>82</v>
      </c>
      <c r="I29" s="13" t="s">
        <v>83</v>
      </c>
      <c r="J29" s="13" t="s">
        <v>84</v>
      </c>
    </row>
    <row r="30" customFormat="false" ht="15" hidden="false" customHeight="false" outlineLevel="0" collapsed="false">
      <c r="A30" s="4" t="s">
        <v>85</v>
      </c>
      <c r="B30" s="27" t="n">
        <f aca="false">$B$39*Resumen!C5+$B$40*Resumen!C6+$B$41*Resumen!C7</f>
        <v>194.502745309215</v>
      </c>
      <c r="C30" s="27" t="n">
        <f aca="false">$B$39*Resumen!F5+$B$40*Resumen!F6+$B$41*Resumen!F7</f>
        <v>258.128431636519</v>
      </c>
      <c r="D30" s="6" t="n">
        <f aca="false">$B$8*B30+(1-$B$8)*C30</f>
        <v>210.409166891041</v>
      </c>
      <c r="E30" s="6" t="n">
        <f aca="false">(B30+Supuestos!$B$16+Supuestos!$B$18)/Supuestos!$B$7</f>
        <v>263.128431636519</v>
      </c>
      <c r="F30" s="17" t="n">
        <f aca="false">-($B$39*Desglose!B15+$B$40*Desglose!C15+$B$41*Desglose!D15)</f>
        <v>25.6913883634812</v>
      </c>
      <c r="G30" s="28" t="n">
        <f aca="false">1-SUM(G31:G35)</f>
        <v>0.87</v>
      </c>
      <c r="H30" s="2" t="s">
        <v>86</v>
      </c>
      <c r="I30" s="7" t="n">
        <f aca="false">$B$40*1+$B$41*3</f>
        <v>1.3</v>
      </c>
      <c r="J30" s="24" t="n">
        <v>0</v>
      </c>
    </row>
    <row r="31" customFormat="false" ht="15" hidden="false" customHeight="false" outlineLevel="0" collapsed="false">
      <c r="A31" s="4" t="s">
        <v>87</v>
      </c>
      <c r="B31" s="27" t="n">
        <f aca="false">Resumen!C9</f>
        <v>126.454549593667</v>
      </c>
      <c r="C31" s="27" t="n">
        <f aca="false">Resumen!F9</f>
        <v>173.068186992084</v>
      </c>
      <c r="D31" s="6" t="n">
        <f aca="false">$B$8*B31+(1-$B$8)*C31</f>
        <v>138.107958943272</v>
      </c>
      <c r="E31" s="6" t="n">
        <f aca="false">(B31+Supuestos!$B$16+Supuestos!$B$18)/Supuestos!$B$7</f>
        <v>178.068186992084</v>
      </c>
      <c r="F31" s="17" t="n">
        <f aca="false">-Desglose!F15</f>
        <v>24.9364321604581</v>
      </c>
      <c r="G31" s="22" t="n">
        <v>0.08</v>
      </c>
      <c r="H31" s="22" t="n">
        <v>0.05</v>
      </c>
      <c r="I31" s="20" t="n">
        <v>1</v>
      </c>
      <c r="J31" s="24" t="n">
        <v>0</v>
      </c>
    </row>
    <row r="32" customFormat="false" ht="15" hidden="false" customHeight="false" outlineLevel="0" collapsed="false">
      <c r="A32" s="4" t="s">
        <v>28</v>
      </c>
      <c r="B32" s="27" t="n">
        <f aca="false">Contenedor2!B89</f>
        <v>88.7496311689675</v>
      </c>
      <c r="C32" s="27" t="n">
        <f aca="false">Contenedor2!B89</f>
        <v>88.7496311689675</v>
      </c>
      <c r="D32" s="6" t="n">
        <f aca="false">$B$8*B32+(1-$B$8)*C32</f>
        <v>88.7496311689675</v>
      </c>
      <c r="E32" s="6" t="n">
        <f aca="false">(B32+Supuestos!$B$16+Supuestos!$B$18)/Supuestos!$B$7</f>
        <v>130.937038961209</v>
      </c>
      <c r="F32" s="17" t="n">
        <f aca="false">-Contenedor2!B82</f>
        <v>47.5489513777738</v>
      </c>
      <c r="G32" s="22" t="n">
        <v>0.03</v>
      </c>
      <c r="H32" s="22" t="n">
        <v>0.06</v>
      </c>
      <c r="I32" s="20" t="n">
        <v>0</v>
      </c>
      <c r="J32" s="24" t="n">
        <v>0</v>
      </c>
    </row>
    <row r="33" customFormat="false" ht="15" hidden="false" customHeight="false" outlineLevel="0" collapsed="false">
      <c r="A33" s="4" t="s">
        <v>29</v>
      </c>
      <c r="B33" s="27" t="n">
        <f aca="false">Contenedor2!C89</f>
        <v>55.6857127910397</v>
      </c>
      <c r="C33" s="27" t="n">
        <f aca="false">Contenedor2!C89</f>
        <v>55.6857127910397</v>
      </c>
      <c r="D33" s="6" t="n">
        <f aca="false">$B$8*B33+(1-$B$8)*C33</f>
        <v>55.6857127910397</v>
      </c>
      <c r="E33" s="6" t="n">
        <f aca="false">(B33+Supuestos!$B$16+Supuestos!$B$18)/Supuestos!$B$7</f>
        <v>89.6071409887997</v>
      </c>
      <c r="F33" s="17" t="n">
        <f aca="false">-Contenedor2!C82</f>
        <v>39.8415917230648</v>
      </c>
      <c r="G33" s="22" t="n">
        <v>0.02</v>
      </c>
      <c r="H33" s="22" t="n">
        <v>0.02</v>
      </c>
      <c r="I33" s="20" t="n">
        <v>0</v>
      </c>
      <c r="J33" s="24" t="n">
        <v>0</v>
      </c>
    </row>
    <row r="34" customFormat="false" ht="15" hidden="false" customHeight="false" outlineLevel="0" collapsed="false">
      <c r="A34" s="4" t="s">
        <v>30</v>
      </c>
      <c r="B34" s="27" t="n">
        <f aca="false">Contenedor2!E89</f>
        <v>905.088945479572</v>
      </c>
      <c r="C34" s="27" t="n">
        <f aca="false">Contenedor2!E89</f>
        <v>905.088945479572</v>
      </c>
      <c r="D34" s="6" t="n">
        <f aca="false">$B$8*B34+(1-$B$8)*C34</f>
        <v>905.088945479572</v>
      </c>
      <c r="E34" s="6" t="n">
        <f aca="false">(B34+Supuestos!$B$16+Supuestos!$B$18)/Supuestos!$B$7</f>
        <v>1151.36118184947</v>
      </c>
      <c r="F34" s="17" t="n">
        <f aca="false">-Contenedor2!E82</f>
        <v>635.123072896298</v>
      </c>
      <c r="G34" s="22" t="n">
        <v>0</v>
      </c>
      <c r="H34" s="2" t="s">
        <v>88</v>
      </c>
      <c r="I34" s="20" t="n">
        <v>0</v>
      </c>
      <c r="J34" s="24" t="n">
        <v>0</v>
      </c>
    </row>
    <row r="35" customFormat="false" ht="15" hidden="false" customHeight="false" outlineLevel="0" collapsed="false">
      <c r="A35" s="4" t="s">
        <v>89</v>
      </c>
      <c r="B35" s="27" t="n">
        <f aca="false">Resumen!C13</f>
        <v>48.6579974982881</v>
      </c>
      <c r="C35" s="27" t="n">
        <f aca="false">Resumen!F13</f>
        <v>75.8224968728601</v>
      </c>
      <c r="D35" s="6" t="n">
        <f aca="false">$B$8*B35+(1-$B$8)*C35</f>
        <v>55.4491223419311</v>
      </c>
      <c r="E35" s="6" t="n">
        <f aca="false">(B35+Supuestos!$B$16+Supuestos!$B$18)/Supuestos!$B$7</f>
        <v>80.8224968728601</v>
      </c>
      <c r="F35" s="17" t="n">
        <f aca="false">-Desglose!J15</f>
        <v>64.9719883813772</v>
      </c>
      <c r="G35" s="22" t="n">
        <v>0</v>
      </c>
      <c r="H35" s="22" t="n">
        <v>0</v>
      </c>
      <c r="I35" s="20" t="n">
        <v>0</v>
      </c>
      <c r="J35" s="24" t="n">
        <v>1</v>
      </c>
    </row>
    <row r="36" customFormat="false" ht="15" hidden="false" customHeight="false" outlineLevel="0" collapsed="false">
      <c r="A36" s="4" t="s">
        <v>90</v>
      </c>
      <c r="B36" s="27" t="n">
        <f aca="false">Resumen!C15</f>
        <v>111.698973695893</v>
      </c>
      <c r="C36" s="27" t="n">
        <f aca="false">Resumen!F15</f>
        <v>154.623717119867</v>
      </c>
      <c r="D36" s="6" t="n">
        <f aca="false">$B$8*B36+(1-$B$8)*C36</f>
        <v>122.430159551887</v>
      </c>
      <c r="E36" s="6" t="n">
        <f aca="false">(B36+Supuestos!$B$16+Supuestos!$B$18)/Supuestos!$B$7</f>
        <v>159.623717119867</v>
      </c>
      <c r="F36" s="17" t="n">
        <f aca="false">-Costo_Lima!F36</f>
        <v>-2.51652067674348</v>
      </c>
      <c r="I36" s="20" t="n">
        <v>0</v>
      </c>
      <c r="J36" s="24" t="n">
        <v>0</v>
      </c>
    </row>
    <row r="37" customFormat="false" ht="15" hidden="false" customHeight="false" outlineLevel="0" collapsed="false">
      <c r="A37" s="2" t="s">
        <v>91</v>
      </c>
    </row>
    <row r="38" customFormat="false" ht="15" hidden="false" customHeight="false" outlineLevel="0" collapsed="false">
      <c r="A38" s="8" t="s">
        <v>92</v>
      </c>
    </row>
    <row r="39" customFormat="false" ht="15" hidden="false" customHeight="false" outlineLevel="0" collapsed="false">
      <c r="A39" s="4" t="s">
        <v>93</v>
      </c>
      <c r="B39" s="22" t="n">
        <v>0.1</v>
      </c>
    </row>
    <row r="40" customFormat="false" ht="15" hidden="false" customHeight="false" outlineLevel="0" collapsed="false">
      <c r="A40" s="4" t="s">
        <v>94</v>
      </c>
      <c r="B40" s="22" t="n">
        <v>0.7</v>
      </c>
    </row>
    <row r="41" customFormat="false" ht="15" hidden="false" customHeight="false" outlineLevel="0" collapsed="false">
      <c r="A41" s="4" t="s">
        <v>95</v>
      </c>
      <c r="B41" s="22" t="n">
        <v>0.2</v>
      </c>
    </row>
    <row r="43" customFormat="false" ht="15" hidden="false" customHeight="false" outlineLevel="0" collapsed="false">
      <c r="A43" s="4" t="s">
        <v>96</v>
      </c>
      <c r="B43" s="19" t="n">
        <v>0.08</v>
      </c>
      <c r="C43" s="2" t="s">
        <v>97</v>
      </c>
    </row>
    <row r="44" customFormat="false" ht="15" hidden="false" customHeight="false" outlineLevel="0" collapsed="false">
      <c r="A44" s="4" t="s">
        <v>98</v>
      </c>
      <c r="B44" s="19" t="n">
        <v>0.2</v>
      </c>
    </row>
    <row r="45" customFormat="false" ht="15" hidden="false" customHeight="false" outlineLevel="0" collapsed="false">
      <c r="A45" s="4" t="s">
        <v>99</v>
      </c>
      <c r="B45" s="27" t="n">
        <f aca="false">0.85*(Desglose!H14+Desglose!H15+Desglose!H16)</f>
        <v>54.5432062909913</v>
      </c>
      <c r="C45" s="2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4" customFormat="false" ht="15" hidden="false" customHeight="false" outlineLevel="0" collapsed="false">
      <c r="A4" s="4" t="s">
        <v>103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104</v>
      </c>
      <c r="B5" s="3" t="s">
        <v>105</v>
      </c>
      <c r="C5" s="3" t="s">
        <v>106</v>
      </c>
      <c r="D5" s="3" t="s">
        <v>107</v>
      </c>
      <c r="E5" s="3" t="s">
        <v>108</v>
      </c>
      <c r="F5" s="3" t="s">
        <v>109</v>
      </c>
      <c r="G5" s="3" t="s">
        <v>110</v>
      </c>
      <c r="H5" s="3" t="s">
        <v>111</v>
      </c>
      <c r="I5" s="3" t="s">
        <v>112</v>
      </c>
      <c r="J5" s="3" t="s">
        <v>113</v>
      </c>
      <c r="K5" s="3" t="s">
        <v>114</v>
      </c>
      <c r="L5" s="3" t="s">
        <v>115</v>
      </c>
      <c r="M5" s="3" t="s">
        <v>116</v>
      </c>
      <c r="N5" s="3" t="s">
        <v>117</v>
      </c>
      <c r="O5" s="3" t="s">
        <v>118</v>
      </c>
      <c r="P5" s="3" t="s">
        <v>119</v>
      </c>
      <c r="Q5" s="3" t="s">
        <v>120</v>
      </c>
      <c r="R5" s="3" t="s">
        <v>121</v>
      </c>
      <c r="S5" s="3" t="s">
        <v>122</v>
      </c>
      <c r="T5" s="3" t="s">
        <v>123</v>
      </c>
      <c r="U5" s="3" t="s">
        <v>124</v>
      </c>
      <c r="V5" s="3" t="s">
        <v>125</v>
      </c>
      <c r="W5" s="3" t="s">
        <v>126</v>
      </c>
      <c r="X5" s="3" t="s">
        <v>127</v>
      </c>
      <c r="Y5" s="3" t="s">
        <v>128</v>
      </c>
    </row>
    <row r="7" customFormat="false" ht="15" hidden="false" customHeight="false" outlineLevel="0" collapsed="false">
      <c r="A7" s="4" t="s">
        <v>129</v>
      </c>
      <c r="B7" s="5" t="n">
        <f aca="false">MIN(Plan_Supuestos!$B$20,Plan_Supuestos!$B$6*(1+Plan_Supuestos!$B$19)^(B$4-1))</f>
        <v>9000</v>
      </c>
      <c r="C7" s="5" t="n">
        <f aca="false">MIN(Plan_Supuestos!$B$20,Plan_Supuestos!$B$6*(1+Plan_Supuestos!$B$19)^(C$4-1))</f>
        <v>9720</v>
      </c>
      <c r="D7" s="5" t="n">
        <f aca="false">MIN(Plan_Supuestos!$B$20,Plan_Supuestos!$B$6*(1+Plan_Supuestos!$B$19)^(D$4-1))</f>
        <v>10497.6</v>
      </c>
      <c r="E7" s="5" t="n">
        <f aca="false">MIN(Plan_Supuestos!$B$20,Plan_Supuestos!$B$6*(1+Plan_Supuestos!$B$19)^(E$4-1))</f>
        <v>11337.408</v>
      </c>
      <c r="F7" s="5" t="n">
        <f aca="false">MIN(Plan_Supuestos!$B$20,Plan_Supuestos!$B$6*(1+Plan_Supuestos!$B$19)^(F$4-1))</f>
        <v>12244.40064</v>
      </c>
      <c r="G7" s="5" t="n">
        <f aca="false">MIN(Plan_Supuestos!$B$20,Plan_Supuestos!$B$6*(1+Plan_Supuestos!$B$19)^(G$4-1))</f>
        <v>13223.9526912</v>
      </c>
      <c r="H7" s="5" t="n">
        <f aca="false">MIN(Plan_Supuestos!$B$20,Plan_Supuestos!$B$6*(1+Plan_Supuestos!$B$19)^(H$4-1))</f>
        <v>14281.868906496</v>
      </c>
      <c r="I7" s="5" t="n">
        <f aca="false">MIN(Plan_Supuestos!$B$20,Plan_Supuestos!$B$6*(1+Plan_Supuestos!$B$19)^(I$4-1))</f>
        <v>15424.4184190157</v>
      </c>
      <c r="J7" s="5" t="n">
        <f aca="false">MIN(Plan_Supuestos!$B$20,Plan_Supuestos!$B$6*(1+Plan_Supuestos!$B$19)^(J$4-1))</f>
        <v>16658.3718925369</v>
      </c>
      <c r="K7" s="5" t="n">
        <f aca="false">MIN(Plan_Supuestos!$B$20,Plan_Supuestos!$B$6*(1+Plan_Supuestos!$B$19)^(K$4-1))</f>
        <v>17991.0416439399</v>
      </c>
      <c r="L7" s="5" t="n">
        <f aca="false">MIN(Plan_Supuestos!$B$20,Plan_Supuestos!$B$6*(1+Plan_Supuestos!$B$19)^(L$4-1))</f>
        <v>19430.3249754551</v>
      </c>
      <c r="M7" s="5" t="n">
        <f aca="false">MIN(Plan_Supuestos!$B$20,Plan_Supuestos!$B$6*(1+Plan_Supuestos!$B$19)^(M$4-1))</f>
        <v>20984.7509734915</v>
      </c>
      <c r="N7" s="5" t="n">
        <f aca="false">MIN(Plan_Supuestos!$B$20,Plan_Supuestos!$B$6*(1+Plan_Supuestos!$B$19)^(N$4-1))</f>
        <v>22663.5310513708</v>
      </c>
      <c r="O7" s="5" t="n">
        <f aca="false">MIN(Plan_Supuestos!$B$20,Plan_Supuestos!$B$6*(1+Plan_Supuestos!$B$19)^(O$4-1))</f>
        <v>24476.6135354805</v>
      </c>
      <c r="P7" s="5" t="n">
        <f aca="false">MIN(Plan_Supuestos!$B$20,Plan_Supuestos!$B$6*(1+Plan_Supuestos!$B$19)^(P$4-1))</f>
        <v>26434.7426183189</v>
      </c>
      <c r="Q7" s="5" t="n">
        <f aca="false">MIN(Plan_Supuestos!$B$20,Plan_Supuestos!$B$6*(1+Plan_Supuestos!$B$19)^(Q$4-1))</f>
        <v>28549.5220277845</v>
      </c>
      <c r="R7" s="5" t="n">
        <f aca="false">MIN(Plan_Supuestos!$B$20,Plan_Supuestos!$B$6*(1+Plan_Supuestos!$B$19)^(R$4-1))</f>
        <v>30833.4837900072</v>
      </c>
      <c r="S7" s="5" t="n">
        <f aca="false">MIN(Plan_Supuestos!$B$20,Plan_Supuestos!$B$6*(1+Plan_Supuestos!$B$19)^(S$4-1))</f>
        <v>33300.1624932078</v>
      </c>
      <c r="T7" s="5" t="n">
        <f aca="false">MIN(Plan_Supuestos!$B$20,Plan_Supuestos!$B$6*(1+Plan_Supuestos!$B$19)^(T$4-1))</f>
        <v>35964.1754926644</v>
      </c>
      <c r="U7" s="5" t="n">
        <f aca="false">MIN(Plan_Supuestos!$B$20,Plan_Supuestos!$B$6*(1+Plan_Supuestos!$B$19)^(U$4-1))</f>
        <v>38841.3095320776</v>
      </c>
      <c r="V7" s="5" t="n">
        <f aca="false">MIN(Plan_Supuestos!$B$20,Plan_Supuestos!$B$6*(1+Plan_Supuestos!$B$19)^(V$4-1))</f>
        <v>41948.6142946438</v>
      </c>
      <c r="W7" s="5" t="n">
        <f aca="false">MIN(Plan_Supuestos!$B$20,Plan_Supuestos!$B$6*(1+Plan_Supuestos!$B$19)^(W$4-1))</f>
        <v>45304.5034382153</v>
      </c>
      <c r="X7" s="5" t="n">
        <f aca="false">MIN(Plan_Supuestos!$B$20,Plan_Supuestos!$B$6*(1+Plan_Supuestos!$B$19)^(X$4-1))</f>
        <v>48928.8637132725</v>
      </c>
      <c r="Y7" s="5" t="n">
        <f aca="false">MIN(Plan_Supuestos!$B$20,Plan_Supuestos!$B$6*(1+Plan_Supuestos!$B$19)^(Y$4-1))</f>
        <v>52843.1728103343</v>
      </c>
    </row>
    <row r="8" customFormat="false" ht="15" hidden="false" customHeight="false" outlineLevel="0" collapsed="false">
      <c r="A8" s="4" t="s">
        <v>130</v>
      </c>
      <c r="B8" s="28" t="n">
        <f aca="false">MIN(Plan_Supuestos!$B$22,Plan_Supuestos!$B$21*(B$4-1))</f>
        <v>0</v>
      </c>
      <c r="C8" s="28" t="n">
        <f aca="false">MIN(Plan_Supuestos!$B$22,Plan_Supuestos!$B$21*(C$4-1))</f>
        <v>0.005</v>
      </c>
      <c r="D8" s="28" t="n">
        <f aca="false">MIN(Plan_Supuestos!$B$22,Plan_Supuestos!$B$21*(D$4-1))</f>
        <v>0.01</v>
      </c>
      <c r="E8" s="28" t="n">
        <f aca="false">MIN(Plan_Supuestos!$B$22,Plan_Supuestos!$B$21*(E$4-1))</f>
        <v>0.015</v>
      </c>
      <c r="F8" s="28" t="n">
        <f aca="false">MIN(Plan_Supuestos!$B$22,Plan_Supuestos!$B$21*(F$4-1))</f>
        <v>0.02</v>
      </c>
      <c r="G8" s="28" t="n">
        <f aca="false">MIN(Plan_Supuestos!$B$22,Plan_Supuestos!$B$21*(G$4-1))</f>
        <v>0.025</v>
      </c>
      <c r="H8" s="28" t="n">
        <f aca="false">MIN(Plan_Supuestos!$B$22,Plan_Supuestos!$B$21*(H$4-1))</f>
        <v>0.03</v>
      </c>
      <c r="I8" s="28" t="n">
        <f aca="false">MIN(Plan_Supuestos!$B$22,Plan_Supuestos!$B$21*(I$4-1))</f>
        <v>0.035</v>
      </c>
      <c r="J8" s="28" t="n">
        <f aca="false">MIN(Plan_Supuestos!$B$22,Plan_Supuestos!$B$21*(J$4-1))</f>
        <v>0.04</v>
      </c>
      <c r="K8" s="28" t="n">
        <f aca="false">MIN(Plan_Supuestos!$B$22,Plan_Supuestos!$B$21*(K$4-1))</f>
        <v>0.045</v>
      </c>
      <c r="L8" s="28" t="n">
        <f aca="false">MIN(Plan_Supuestos!$B$22,Plan_Supuestos!$B$21*(L$4-1))</f>
        <v>0.05</v>
      </c>
      <c r="M8" s="28" t="n">
        <f aca="false">MIN(Plan_Supuestos!$B$22,Plan_Supuestos!$B$21*(M$4-1))</f>
        <v>0.055</v>
      </c>
      <c r="N8" s="28" t="n">
        <f aca="false">MIN(Plan_Supuestos!$B$22,Plan_Supuestos!$B$21*(N$4-1))</f>
        <v>0.06</v>
      </c>
      <c r="O8" s="28" t="n">
        <f aca="false">MIN(Plan_Supuestos!$B$22,Plan_Supuestos!$B$21*(O$4-1))</f>
        <v>0.065</v>
      </c>
      <c r="P8" s="28" t="n">
        <f aca="false">MIN(Plan_Supuestos!$B$22,Plan_Supuestos!$B$21*(P$4-1))</f>
        <v>0.07</v>
      </c>
      <c r="Q8" s="28" t="n">
        <f aca="false">MIN(Plan_Supuestos!$B$22,Plan_Supuestos!$B$21*(Q$4-1))</f>
        <v>0.075</v>
      </c>
      <c r="R8" s="28" t="n">
        <f aca="false">MIN(Plan_Supuestos!$B$22,Plan_Supuestos!$B$21*(R$4-1))</f>
        <v>0.08</v>
      </c>
      <c r="S8" s="28" t="n">
        <f aca="false">MIN(Plan_Supuestos!$B$22,Plan_Supuestos!$B$21*(S$4-1))</f>
        <v>0.085</v>
      </c>
      <c r="T8" s="28" t="n">
        <f aca="false">MIN(Plan_Supuestos!$B$22,Plan_Supuestos!$B$21*(T$4-1))</f>
        <v>0.09</v>
      </c>
      <c r="U8" s="28" t="n">
        <f aca="false">MIN(Plan_Supuestos!$B$22,Plan_Supuestos!$B$21*(U$4-1))</f>
        <v>0.095</v>
      </c>
      <c r="V8" s="28" t="n">
        <f aca="false">MIN(Plan_Supuestos!$B$22,Plan_Supuestos!$B$21*(V$4-1))</f>
        <v>0.1</v>
      </c>
      <c r="W8" s="28" t="n">
        <f aca="false">MIN(Plan_Supuestos!$B$22,Plan_Supuestos!$B$21*(W$4-1))</f>
        <v>0.105</v>
      </c>
      <c r="X8" s="28" t="n">
        <f aca="false">MIN(Plan_Supuestos!$B$22,Plan_Supuestos!$B$21*(X$4-1))</f>
        <v>0.11</v>
      </c>
      <c r="Y8" s="28" t="n">
        <f aca="false">MIN(Plan_Supuestos!$B$22,Plan_Supuestos!$B$21*(Y$4-1))</f>
        <v>0.115</v>
      </c>
    </row>
    <row r="9" customFormat="false" ht="15" hidden="false" customHeight="false" outlineLevel="0" collapsed="false">
      <c r="A9" s="4" t="s">
        <v>131</v>
      </c>
      <c r="B9" s="6" t="n">
        <f aca="false">Plan_Supuestos!$B$17*(B7/Plan_Supuestos!$B$6)^Plan_Supuestos!$B$18*(1-B8)</f>
        <v>80</v>
      </c>
      <c r="C9" s="6" t="n">
        <f aca="false">Plan_Supuestos!$B$17*(C7/Plan_Supuestos!$B$6)^Plan_Supuestos!$B$18*(1-C8)</f>
        <v>81.7732732429009</v>
      </c>
      <c r="D9" s="6" t="n">
        <f aca="false">Plan_Supuestos!$B$17*(D7/Plan_Supuestos!$B$6)^Plan_Supuestos!$B$18*(1-D8)</f>
        <v>83.5837420101708</v>
      </c>
      <c r="E9" s="6" t="n">
        <f aca="false">Plan_Supuestos!$B$17*(E7/Plan_Supuestos!$B$6)^Plan_Supuestos!$B$18*(1-E8)</f>
        <v>85.4321155201627</v>
      </c>
      <c r="F9" s="6" t="n">
        <f aca="false">Plan_Supuestos!$B$17*(F7/Plan_Supuestos!$B$6)^Plan_Supuestos!$B$18*(1-F8)</f>
        <v>87.3191139916122</v>
      </c>
      <c r="G9" s="6" t="n">
        <f aca="false">Plan_Supuestos!$B$17*(G7/Plan_Supuestos!$B$6)^Plan_Supuestos!$B$18*(1-G8)</f>
        <v>89.2454687156447</v>
      </c>
      <c r="H9" s="6" t="n">
        <f aca="false">Plan_Supuestos!$B$17*(H7/Plan_Supuestos!$B$6)^Plan_Supuestos!$B$18*(1-H8)</f>
        <v>91.211922123514</v>
      </c>
      <c r="I9" s="6" t="n">
        <f aca="false">Plan_Supuestos!$B$17*(I7/Plan_Supuestos!$B$6)^Plan_Supuestos!$B$18*(1-I8)</f>
        <v>93.2192278497867</v>
      </c>
      <c r="J9" s="6" t="n">
        <f aca="false">Plan_Supuestos!$B$17*(J7/Plan_Supuestos!$B$6)^Plan_Supuestos!$B$18*(1-J8)</f>
        <v>95.2681507906726</v>
      </c>
      <c r="K9" s="6" t="n">
        <f aca="false">Plan_Supuestos!$B$17*(K7/Plan_Supuestos!$B$6)^Plan_Supuestos!$B$18*(1-K8)</f>
        <v>97.3594671571888</v>
      </c>
      <c r="L9" s="6" t="n">
        <f aca="false">Plan_Supuestos!$B$17*(L7/Plan_Supuestos!$B$6)^Plan_Supuestos!$B$18*(1-L8)</f>
        <v>99.4939645228318</v>
      </c>
      <c r="M9" s="6" t="n">
        <f aca="false">Plan_Supuestos!$B$17*(M7/Plan_Supuestos!$B$6)^Plan_Supuestos!$B$18*(1-M8)</f>
        <v>101.67244186542</v>
      </c>
      <c r="N9" s="6" t="n">
        <f aca="false">Plan_Supuestos!$B$17*(N7/Plan_Supuestos!$B$6)^Plan_Supuestos!$B$18*(1-N8)</f>
        <v>103.895709602748</v>
      </c>
      <c r="O9" s="6" t="n">
        <f aca="false">Plan_Supuestos!$B$17*(O7/Plan_Supuestos!$B$6)^Plan_Supuestos!$B$18*(1-O8)</f>
        <v>106.164589621691</v>
      </c>
      <c r="P9" s="6" t="n">
        <f aca="false">Plan_Supuestos!$B$17*(P7/Plan_Supuestos!$B$6)^Plan_Supuestos!$B$18*(1-P8)</f>
        <v>108.479915300367</v>
      </c>
      <c r="Q9" s="6" t="n">
        <f aca="false">Plan_Supuestos!$B$17*(Q7/Plan_Supuestos!$B$6)^Plan_Supuestos!$B$18*(1-Q8)</f>
        <v>110.842531522962</v>
      </c>
      <c r="R9" s="6" t="n">
        <f aca="false">Plan_Supuestos!$B$17*(R7/Plan_Supuestos!$B$6)^Plan_Supuestos!$B$18*(1-R8)</f>
        <v>113.2532946868</v>
      </c>
      <c r="S9" s="6" t="n">
        <f aca="false">Plan_Supuestos!$B$17*(S7/Plan_Supuestos!$B$6)^Plan_Supuestos!$B$18*(1-S8)</f>
        <v>115.713072701216</v>
      </c>
      <c r="T9" s="6" t="n">
        <f aca="false">Plan_Supuestos!$B$17*(T7/Plan_Supuestos!$B$6)^Plan_Supuestos!$B$18*(1-T8)</f>
        <v>118.222744977795</v>
      </c>
      <c r="U9" s="6" t="n">
        <f aca="false">Plan_Supuestos!$B$17*(U7/Plan_Supuestos!$B$6)^Plan_Supuestos!$B$18*(1-U8)</f>
        <v>120.783202411487</v>
      </c>
      <c r="V9" s="6" t="n">
        <f aca="false">Plan_Supuestos!$B$17*(V7/Plan_Supuestos!$B$6)^Plan_Supuestos!$B$18*(1-V8)</f>
        <v>123.395347352125</v>
      </c>
      <c r="W9" s="6" t="n">
        <f aca="false">Plan_Supuestos!$B$17*(W7/Plan_Supuestos!$B$6)^Plan_Supuestos!$B$18*(1-W8)</f>
        <v>126.060093565823</v>
      </c>
      <c r="X9" s="6" t="n">
        <f aca="false">Plan_Supuestos!$B$17*(X7/Plan_Supuestos!$B$6)^Plan_Supuestos!$B$18*(1-X8)</f>
        <v>128.778366185726</v>
      </c>
      <c r="Y9" s="6" t="n">
        <f aca="false">Plan_Supuestos!$B$17*(Y7/Plan_Supuestos!$B$6)^Plan_Supuestos!$B$18*(1-Y8)</f>
        <v>131.551101651566</v>
      </c>
    </row>
    <row r="10" customFormat="false" ht="15" hidden="false" customHeight="false" outlineLevel="0" collapsed="false">
      <c r="A10" s="4" t="s">
        <v>132</v>
      </c>
      <c r="B10" s="5" t="n">
        <f aca="false">B7/B9</f>
        <v>112.5</v>
      </c>
      <c r="C10" s="5" t="n">
        <f aca="false">C7/C9</f>
        <v>118.865243062089</v>
      </c>
      <c r="D10" s="5" t="n">
        <f aca="false">D7/D9</f>
        <v>125.593802664669</v>
      </c>
      <c r="E10" s="5" t="n">
        <f aca="false">E7/E9</f>
        <v>132.706628309167</v>
      </c>
      <c r="F10" s="5" t="n">
        <f aca="false">F7/F9</f>
        <v>140.225891906968</v>
      </c>
      <c r="G10" s="5" t="n">
        <f aca="false">G7/G9</f>
        <v>148.175060106798</v>
      </c>
      <c r="H10" s="5" t="n">
        <f aca="false">H7/H9</f>
        <v>156.578970972197</v>
      </c>
      <c r="I10" s="5" t="n">
        <f aca="false">I7/I9</f>
        <v>165.463915275833</v>
      </c>
      <c r="J10" s="5" t="n">
        <f aca="false">J7/J9</f>
        <v>174.857722694119</v>
      </c>
      <c r="K10" s="5" t="n">
        <f aca="false">K7/K9</f>
        <v>184.789853203418</v>
      </c>
      <c r="L10" s="5" t="n">
        <f aca="false">L7/L9</f>
        <v>195.291493998073</v>
      </c>
      <c r="M10" s="5" t="n">
        <f aca="false">M7/M9</f>
        <v>206.39566227069</v>
      </c>
      <c r="N10" s="5" t="n">
        <f aca="false">N7/N9</f>
        <v>218.137314216597</v>
      </c>
      <c r="O10" s="5" t="n">
        <f aca="false">O7/O9</f>
        <v>230.553460647294</v>
      </c>
      <c r="P10" s="5" t="n">
        <f aca="false">P7/P9</f>
        <v>243.683289622089</v>
      </c>
      <c r="Q10" s="5" t="n">
        <f aca="false">Q7/Q9</f>
        <v>257.568296533087</v>
      </c>
      <c r="R10" s="5" t="n">
        <f aca="false">R7/R9</f>
        <v>272.252422106365</v>
      </c>
      <c r="S10" s="5" t="n">
        <f aca="false">S7/S9</f>
        <v>287.782198811646</v>
      </c>
      <c r="T10" s="5" t="n">
        <f aca="false">T7/T9</f>
        <v>304.206906204211</v>
      </c>
      <c r="U10" s="5" t="n">
        <f aca="false">U7/U9</f>
        <v>321.578735756253</v>
      </c>
      <c r="V10" s="5" t="n">
        <f aca="false">V7/V9</f>
        <v>339.952965770562</v>
      </c>
      <c r="W10" s="5" t="n">
        <f aca="false">W7/W9</f>
        <v>359.388147007516</v>
      </c>
      <c r="X10" s="5" t="n">
        <f aca="false">X7/X9</f>
        <v>379.946299696849</v>
      </c>
      <c r="Y10" s="5" t="n">
        <f aca="false">Y7/Y9</f>
        <v>401.693122649005</v>
      </c>
    </row>
    <row r="11" customFormat="false" ht="15" hidden="false" customHeight="false" outlineLevel="0" collapsed="false">
      <c r="A11" s="4" t="s">
        <v>133</v>
      </c>
      <c r="B11" s="5" t="n">
        <f aca="false">B10*Plan_Supuestos!$B$23</f>
        <v>11.25</v>
      </c>
      <c r="C11" s="5" t="n">
        <f aca="false">C10*Plan_Supuestos!$B$23</f>
        <v>11.8865243062089</v>
      </c>
      <c r="D11" s="5" t="n">
        <f aca="false">D10*Plan_Supuestos!$B$23</f>
        <v>12.5593802664669</v>
      </c>
      <c r="E11" s="5" t="n">
        <f aca="false">E10*Plan_Supuestos!$B$23</f>
        <v>13.2706628309167</v>
      </c>
      <c r="F11" s="5" t="n">
        <f aca="false">F10*Plan_Supuestos!$B$23</f>
        <v>14.0225891906968</v>
      </c>
      <c r="G11" s="5" t="n">
        <f aca="false">G10*Plan_Supuestos!$B$23</f>
        <v>14.8175060106798</v>
      </c>
      <c r="H11" s="5" t="n">
        <f aca="false">H10*Plan_Supuestos!$B$23</f>
        <v>15.6578970972197</v>
      </c>
      <c r="I11" s="5" t="n">
        <f aca="false">I10*Plan_Supuestos!$B$23</f>
        <v>16.5463915275833</v>
      </c>
      <c r="J11" s="5" t="n">
        <f aca="false">J10*Plan_Supuestos!$B$23</f>
        <v>17.4857722694119</v>
      </c>
      <c r="K11" s="5" t="n">
        <f aca="false">K10*Plan_Supuestos!$B$23</f>
        <v>18.4789853203418</v>
      </c>
      <c r="L11" s="5" t="n">
        <f aca="false">L10*Plan_Supuestos!$B$23</f>
        <v>19.5291493998073</v>
      </c>
      <c r="M11" s="5" t="n">
        <f aca="false">M10*Plan_Supuestos!$B$23</f>
        <v>20.639566227069</v>
      </c>
      <c r="N11" s="5" t="n">
        <f aca="false">N10*Plan_Supuestos!$B$23</f>
        <v>21.8137314216597</v>
      </c>
      <c r="O11" s="5" t="n">
        <f aca="false">O10*Plan_Supuestos!$B$23</f>
        <v>23.0553460647294</v>
      </c>
      <c r="P11" s="5" t="n">
        <f aca="false">P10*Plan_Supuestos!$B$23</f>
        <v>24.3683289622089</v>
      </c>
      <c r="Q11" s="5" t="n">
        <f aca="false">Q10*Plan_Supuestos!$B$23</f>
        <v>25.7568296533087</v>
      </c>
      <c r="R11" s="5" t="n">
        <f aca="false">R10*Plan_Supuestos!$B$23</f>
        <v>27.2252422106365</v>
      </c>
      <c r="S11" s="5" t="n">
        <f aca="false">S10*Plan_Supuestos!$B$23</f>
        <v>28.7782198811646</v>
      </c>
      <c r="T11" s="5" t="n">
        <f aca="false">T10*Plan_Supuestos!$B$23</f>
        <v>30.4206906204211</v>
      </c>
      <c r="U11" s="5" t="n">
        <f aca="false">U10*Plan_Supuestos!$B$23</f>
        <v>32.1578735756253</v>
      </c>
      <c r="V11" s="5" t="n">
        <f aca="false">V10*Plan_Supuestos!$B$23</f>
        <v>33.9952965770562</v>
      </c>
      <c r="W11" s="5" t="n">
        <f aca="false">W10*Plan_Supuestos!$B$23</f>
        <v>35.9388147007516</v>
      </c>
      <c r="X11" s="5" t="n">
        <f aca="false">X10*Plan_Supuestos!$B$23</f>
        <v>37.9946299696849</v>
      </c>
      <c r="Y11" s="5" t="n">
        <f aca="false">Y10*Plan_Supuestos!$B$23</f>
        <v>40.1693122649005</v>
      </c>
    </row>
    <row r="12" customFormat="false" ht="15" hidden="false" customHeight="false" outlineLevel="0" collapsed="false">
      <c r="A12" s="8" t="s">
        <v>134</v>
      </c>
      <c r="B12" s="18" t="n">
        <f aca="false">B10+B11</f>
        <v>123.75</v>
      </c>
      <c r="C12" s="18" t="n">
        <f aca="false">C10+C11</f>
        <v>130.751767368298</v>
      </c>
      <c r="D12" s="18" t="n">
        <f aca="false">D10+D11</f>
        <v>138.153182931136</v>
      </c>
      <c r="E12" s="18" t="n">
        <f aca="false">E10+E11</f>
        <v>145.977291140083</v>
      </c>
      <c r="F12" s="18" t="n">
        <f aca="false">F10+F11</f>
        <v>154.248481097664</v>
      </c>
      <c r="G12" s="18" t="n">
        <f aca="false">G10+G11</f>
        <v>162.992566117478</v>
      </c>
      <c r="H12" s="18" t="n">
        <f aca="false">H10+H11</f>
        <v>172.236868069417</v>
      </c>
      <c r="I12" s="18" t="n">
        <f aca="false">I10+I11</f>
        <v>182.010306803416</v>
      </c>
      <c r="J12" s="18" t="n">
        <f aca="false">J10+J11</f>
        <v>192.343494963531</v>
      </c>
      <c r="K12" s="18" t="n">
        <f aca="false">K10+K11</f>
        <v>203.26883852376</v>
      </c>
      <c r="L12" s="18" t="n">
        <f aca="false">L10+L11</f>
        <v>214.82064339788</v>
      </c>
      <c r="M12" s="18" t="n">
        <f aca="false">M10+M11</f>
        <v>227.035228497759</v>
      </c>
      <c r="N12" s="18" t="n">
        <f aca="false">N10+N11</f>
        <v>239.951045638256</v>
      </c>
      <c r="O12" s="18" t="n">
        <f aca="false">O10+O11</f>
        <v>253.608806712023</v>
      </c>
      <c r="P12" s="18" t="n">
        <f aca="false">P10+P11</f>
        <v>268.051618584298</v>
      </c>
      <c r="Q12" s="18" t="n">
        <f aca="false">Q10+Q11</f>
        <v>283.325126186396</v>
      </c>
      <c r="R12" s="18" t="n">
        <f aca="false">R10+R11</f>
        <v>299.477664317001</v>
      </c>
      <c r="S12" s="18" t="n">
        <f aca="false">S10+S11</f>
        <v>316.56041869281</v>
      </c>
      <c r="T12" s="18" t="n">
        <f aca="false">T10+T11</f>
        <v>334.627596824632</v>
      </c>
      <c r="U12" s="18" t="n">
        <f aca="false">U10+U11</f>
        <v>353.736609331878</v>
      </c>
      <c r="V12" s="18" t="n">
        <f aca="false">V10+V11</f>
        <v>373.948262347619</v>
      </c>
      <c r="W12" s="18" t="n">
        <f aca="false">W10+W11</f>
        <v>395.326961708267</v>
      </c>
      <c r="X12" s="18" t="n">
        <f aca="false">X10+X11</f>
        <v>417.940929666534</v>
      </c>
      <c r="Y12" s="18" t="n">
        <f aca="false">Y10+Y11</f>
        <v>441.862434913905</v>
      </c>
    </row>
    <row r="13" customFormat="false" ht="15" hidden="false" customHeight="false" outlineLevel="0" collapsed="false">
      <c r="A13" s="4" t="s">
        <v>135</v>
      </c>
      <c r="B13" s="7" t="n">
        <f aca="false">B12/30</f>
        <v>4.125</v>
      </c>
      <c r="C13" s="7" t="n">
        <f aca="false">C12/30</f>
        <v>4.35839224560992</v>
      </c>
      <c r="D13" s="7" t="n">
        <f aca="false">D12/30</f>
        <v>4.60510609770453</v>
      </c>
      <c r="E13" s="7" t="n">
        <f aca="false">E12/30</f>
        <v>4.86590970466944</v>
      </c>
      <c r="F13" s="7" t="n">
        <f aca="false">F12/30</f>
        <v>5.14161603658882</v>
      </c>
      <c r="G13" s="7" t="n">
        <f aca="false">G12/30</f>
        <v>5.43308553724926</v>
      </c>
      <c r="H13" s="7" t="n">
        <f aca="false">H12/30</f>
        <v>5.74122893564723</v>
      </c>
      <c r="I13" s="7" t="n">
        <f aca="false">I12/30</f>
        <v>6.06701022678055</v>
      </c>
      <c r="J13" s="7" t="n">
        <f aca="false">J12/30</f>
        <v>6.41144983211769</v>
      </c>
      <c r="K13" s="7" t="n">
        <f aca="false">K12/30</f>
        <v>6.77562795079199</v>
      </c>
      <c r="L13" s="7" t="n">
        <f aca="false">L12/30</f>
        <v>7.16068811326268</v>
      </c>
      <c r="M13" s="7" t="n">
        <f aca="false">M12/30</f>
        <v>7.5678409499253</v>
      </c>
      <c r="N13" s="7" t="n">
        <f aca="false">N12/30</f>
        <v>7.99836818794188</v>
      </c>
      <c r="O13" s="7" t="n">
        <f aca="false">O12/30</f>
        <v>8.45362689040076</v>
      </c>
      <c r="P13" s="7" t="n">
        <f aca="false">P12/30</f>
        <v>8.93505395280993</v>
      </c>
      <c r="Q13" s="7" t="n">
        <f aca="false">Q12/30</f>
        <v>9.44417087287987</v>
      </c>
      <c r="R13" s="7" t="n">
        <f aca="false">R12/30</f>
        <v>9.98258881056671</v>
      </c>
      <c r="S13" s="7" t="n">
        <f aca="false">S12/30</f>
        <v>10.552013956427</v>
      </c>
      <c r="T13" s="7" t="n">
        <f aca="false">T12/30</f>
        <v>11.1542532274877</v>
      </c>
      <c r="U13" s="7" t="n">
        <f aca="false">U12/30</f>
        <v>11.7912203110626</v>
      </c>
      <c r="V13" s="7" t="n">
        <f aca="false">V12/30</f>
        <v>12.464942078254</v>
      </c>
      <c r="W13" s="7" t="n">
        <f aca="false">W12/30</f>
        <v>13.1775653902756</v>
      </c>
      <c r="X13" s="7" t="n">
        <f aca="false">X12/30</f>
        <v>13.9313643222178</v>
      </c>
      <c r="Y13" s="7" t="n">
        <f aca="false">Y12/30</f>
        <v>14.7287478304635</v>
      </c>
    </row>
    <row r="14" customFormat="false" ht="15" hidden="false" customHeight="false" outlineLevel="0" collapsed="false">
      <c r="A14" s="4" t="s">
        <v>136</v>
      </c>
      <c r="B14" s="5" t="n">
        <f aca="false">Plan_Supuestos!$B$24*IF(B$4&gt;12,INDEX($B12:$Y12,B$4-12),Plan_Supuestos!$B$7)</f>
        <v>4.8</v>
      </c>
      <c r="C14" s="5" t="n">
        <f aca="false">Plan_Supuestos!$B$24*IF(C$4&gt;12,INDEX($B12:$Y12,C$4-12),Plan_Supuestos!$B$7)</f>
        <v>4.8</v>
      </c>
      <c r="D14" s="5" t="n">
        <f aca="false">Plan_Supuestos!$B$24*IF(D$4&gt;12,INDEX($B12:$Y12,D$4-12),Plan_Supuestos!$B$7)</f>
        <v>4.8</v>
      </c>
      <c r="E14" s="5" t="n">
        <f aca="false">Plan_Supuestos!$B$24*IF(E$4&gt;12,INDEX($B12:$Y12,E$4-12),Plan_Supuestos!$B$7)</f>
        <v>4.8</v>
      </c>
      <c r="F14" s="5" t="n">
        <f aca="false">Plan_Supuestos!$B$24*IF(F$4&gt;12,INDEX($B12:$Y12,F$4-12),Plan_Supuestos!$B$7)</f>
        <v>4.8</v>
      </c>
      <c r="G14" s="5" t="n">
        <f aca="false">Plan_Supuestos!$B$24*IF(G$4&gt;12,INDEX($B12:$Y12,G$4-12),Plan_Supuestos!$B$7)</f>
        <v>4.8</v>
      </c>
      <c r="H14" s="5" t="n">
        <f aca="false">Plan_Supuestos!$B$24*IF(H$4&gt;12,INDEX($B12:$Y12,H$4-12),Plan_Supuestos!$B$7)</f>
        <v>4.8</v>
      </c>
      <c r="I14" s="5" t="n">
        <f aca="false">Plan_Supuestos!$B$24*IF(I$4&gt;12,INDEX($B12:$Y12,I$4-12),Plan_Supuestos!$B$7)</f>
        <v>4.8</v>
      </c>
      <c r="J14" s="5" t="n">
        <f aca="false">Plan_Supuestos!$B$24*IF(J$4&gt;12,INDEX($B12:$Y12,J$4-12),Plan_Supuestos!$B$7)</f>
        <v>4.8</v>
      </c>
      <c r="K14" s="5" t="n">
        <f aca="false">Plan_Supuestos!$B$24*IF(K$4&gt;12,INDEX($B12:$Y12,K$4-12),Plan_Supuestos!$B$7)</f>
        <v>4.8</v>
      </c>
      <c r="L14" s="5" t="n">
        <f aca="false">Plan_Supuestos!$B$24*IF(L$4&gt;12,INDEX($B12:$Y12,L$4-12),Plan_Supuestos!$B$7)</f>
        <v>4.8</v>
      </c>
      <c r="M14" s="5" t="n">
        <f aca="false">Plan_Supuestos!$B$24*IF(M$4&gt;12,INDEX($B12:$Y12,M$4-12),Plan_Supuestos!$B$7)</f>
        <v>4.8</v>
      </c>
      <c r="N14" s="5" t="n">
        <f aca="false">Plan_Supuestos!$B$24*IF(N$4&gt;12,INDEX($B12:$Y12,N$4-12),Plan_Supuestos!$B$7)</f>
        <v>9.9</v>
      </c>
      <c r="O14" s="5" t="n">
        <f aca="false">Plan_Supuestos!$B$24*IF(O$4&gt;12,INDEX($B12:$Y12,O$4-12),Plan_Supuestos!$B$7)</f>
        <v>10.4601413894638</v>
      </c>
      <c r="P14" s="5" t="n">
        <f aca="false">Plan_Supuestos!$B$24*IF(P$4&gt;12,INDEX($B12:$Y12,P$4-12),Plan_Supuestos!$B$7)</f>
        <v>11.0522546344909</v>
      </c>
      <c r="Q14" s="5" t="n">
        <f aca="false">Plan_Supuestos!$B$24*IF(Q$4&gt;12,INDEX($B12:$Y12,Q$4-12),Plan_Supuestos!$B$7)</f>
        <v>11.6781832912067</v>
      </c>
      <c r="R14" s="5" t="n">
        <f aca="false">Plan_Supuestos!$B$24*IF(R$4&gt;12,INDEX($B12:$Y12,R$4-12),Plan_Supuestos!$B$7)</f>
        <v>12.3398784878132</v>
      </c>
      <c r="S14" s="5" t="n">
        <f aca="false">Plan_Supuestos!$B$24*IF(S$4&gt;12,INDEX($B12:$Y12,S$4-12),Plan_Supuestos!$B$7)</f>
        <v>13.0394052893982</v>
      </c>
      <c r="T14" s="5" t="n">
        <f aca="false">Plan_Supuestos!$B$24*IF(T$4&gt;12,INDEX($B12:$Y12,T$4-12),Plan_Supuestos!$B$7)</f>
        <v>13.7789494455534</v>
      </c>
      <c r="U14" s="5" t="n">
        <f aca="false">Plan_Supuestos!$B$24*IF(U$4&gt;12,INDEX($B12:$Y12,U$4-12),Plan_Supuestos!$B$7)</f>
        <v>14.5608245442733</v>
      </c>
      <c r="V14" s="5" t="n">
        <f aca="false">Plan_Supuestos!$B$24*IF(V$4&gt;12,INDEX($B12:$Y12,V$4-12),Plan_Supuestos!$B$7)</f>
        <v>15.3874795970825</v>
      </c>
      <c r="W14" s="5" t="n">
        <f aca="false">Plan_Supuestos!$B$24*IF(W$4&gt;12,INDEX($B12:$Y12,W$4-12),Plan_Supuestos!$B$7)</f>
        <v>16.2615070819008</v>
      </c>
      <c r="X14" s="5" t="n">
        <f aca="false">Plan_Supuestos!$B$24*IF(X$4&gt;12,INDEX($B12:$Y12,X$4-12),Plan_Supuestos!$B$7)</f>
        <v>17.1856514718304</v>
      </c>
      <c r="Y14" s="5" t="n">
        <f aca="false">Plan_Supuestos!$B$24*IF(Y$4&gt;12,INDEX($B12:$Y12,Y$4-12),Plan_Supuestos!$B$7)</f>
        <v>18.1628182798207</v>
      </c>
    </row>
    <row r="15" customFormat="false" ht="15" hidden="false" customHeight="false" outlineLevel="0" collapsed="false">
      <c r="A15" s="4" t="s">
        <v>137</v>
      </c>
      <c r="B15" s="5" t="n">
        <f aca="false">B12+B14</f>
        <v>128.55</v>
      </c>
      <c r="C15" s="5" t="n">
        <f aca="false">C12+C14</f>
        <v>135.551767368298</v>
      </c>
      <c r="D15" s="5" t="n">
        <f aca="false">D12+D14</f>
        <v>142.953182931136</v>
      </c>
      <c r="E15" s="5" t="n">
        <f aca="false">E12+E14</f>
        <v>150.777291140083</v>
      </c>
      <c r="F15" s="5" t="n">
        <f aca="false">F12+F14</f>
        <v>159.048481097664</v>
      </c>
      <c r="G15" s="5" t="n">
        <f aca="false">G12+G14</f>
        <v>167.792566117478</v>
      </c>
      <c r="H15" s="5" t="n">
        <f aca="false">H12+H14</f>
        <v>177.036868069417</v>
      </c>
      <c r="I15" s="5" t="n">
        <f aca="false">I12+I14</f>
        <v>186.810306803416</v>
      </c>
      <c r="J15" s="5" t="n">
        <f aca="false">J12+J14</f>
        <v>197.143494963531</v>
      </c>
      <c r="K15" s="5" t="n">
        <f aca="false">K12+K14</f>
        <v>208.06883852376</v>
      </c>
      <c r="L15" s="5" t="n">
        <f aca="false">L12+L14</f>
        <v>219.62064339788</v>
      </c>
      <c r="M15" s="5" t="n">
        <f aca="false">M12+M14</f>
        <v>231.835228497759</v>
      </c>
      <c r="N15" s="5" t="n">
        <f aca="false">N12+N14</f>
        <v>249.851045638256</v>
      </c>
      <c r="O15" s="5" t="n">
        <f aca="false">O12+O14</f>
        <v>264.068948101487</v>
      </c>
      <c r="P15" s="5" t="n">
        <f aca="false">P12+P14</f>
        <v>279.103873218789</v>
      </c>
      <c r="Q15" s="5" t="n">
        <f aca="false">Q12+Q14</f>
        <v>295.003309477603</v>
      </c>
      <c r="R15" s="5" t="n">
        <f aca="false">R12+R14</f>
        <v>311.817542804814</v>
      </c>
      <c r="S15" s="5" t="n">
        <f aca="false">S12+S14</f>
        <v>329.599823982208</v>
      </c>
      <c r="T15" s="5" t="n">
        <f aca="false">T12+T14</f>
        <v>348.406546270186</v>
      </c>
      <c r="U15" s="5" t="n">
        <f aca="false">U12+U14</f>
        <v>368.297433876151</v>
      </c>
      <c r="V15" s="5" t="n">
        <f aca="false">V12+V14</f>
        <v>389.335741944701</v>
      </c>
      <c r="W15" s="5" t="n">
        <f aca="false">W12+W14</f>
        <v>411.588468790168</v>
      </c>
      <c r="X15" s="5" t="n">
        <f aca="false">X12+X14</f>
        <v>435.126581138364</v>
      </c>
      <c r="Y15" s="5" t="n">
        <f aca="false">Y12+Y14</f>
        <v>460.025253193726</v>
      </c>
    </row>
    <row r="16" customFormat="false" ht="15" hidden="false" customHeight="false" outlineLevel="0" collapsed="false">
      <c r="A16" s="4" t="s">
        <v>138</v>
      </c>
      <c r="B16" s="28" t="n">
        <f aca="false">MIN(1,(B$4-1)/11)</f>
        <v>0</v>
      </c>
      <c r="C16" s="28" t="n">
        <f aca="false">MIN(1,(C$4-1)/11)</f>
        <v>0.0909090909090909</v>
      </c>
      <c r="D16" s="28" t="n">
        <f aca="false">MIN(1,(D$4-1)/11)</f>
        <v>0.181818181818182</v>
      </c>
      <c r="E16" s="28" t="n">
        <f aca="false">MIN(1,(E$4-1)/11)</f>
        <v>0.272727272727273</v>
      </c>
      <c r="F16" s="28" t="n">
        <f aca="false">MIN(1,(F$4-1)/11)</f>
        <v>0.363636363636364</v>
      </c>
      <c r="G16" s="28" t="n">
        <f aca="false">MIN(1,(G$4-1)/11)</f>
        <v>0.454545454545455</v>
      </c>
      <c r="H16" s="28" t="n">
        <f aca="false">MIN(1,(H$4-1)/11)</f>
        <v>0.545454545454545</v>
      </c>
      <c r="I16" s="28" t="n">
        <f aca="false">MIN(1,(I$4-1)/11)</f>
        <v>0.636363636363636</v>
      </c>
      <c r="J16" s="28" t="n">
        <f aca="false">MIN(1,(J$4-1)/11)</f>
        <v>0.727272727272727</v>
      </c>
      <c r="K16" s="28" t="n">
        <f aca="false">MIN(1,(K$4-1)/11)</f>
        <v>0.818181818181818</v>
      </c>
      <c r="L16" s="28" t="n">
        <f aca="false">MIN(1,(L$4-1)/11)</f>
        <v>0.909090909090909</v>
      </c>
      <c r="M16" s="28" t="n">
        <f aca="false">MIN(1,(M$4-1)/11)</f>
        <v>1</v>
      </c>
      <c r="N16" s="28" t="n">
        <f aca="false">MIN(1,(N$4-1)/11)</f>
        <v>1</v>
      </c>
      <c r="O16" s="28" t="n">
        <f aca="false">MIN(1,(O$4-1)/11)</f>
        <v>1</v>
      </c>
      <c r="P16" s="28" t="n">
        <f aca="false">MIN(1,(P$4-1)/11)</f>
        <v>1</v>
      </c>
      <c r="Q16" s="28" t="n">
        <f aca="false">MIN(1,(Q$4-1)/11)</f>
        <v>1</v>
      </c>
      <c r="R16" s="28" t="n">
        <f aca="false">MIN(1,(R$4-1)/11)</f>
        <v>1</v>
      </c>
      <c r="S16" s="28" t="n">
        <f aca="false">MIN(1,(S$4-1)/11)</f>
        <v>1</v>
      </c>
      <c r="T16" s="28" t="n">
        <f aca="false">MIN(1,(T$4-1)/11)</f>
        <v>1</v>
      </c>
      <c r="U16" s="28" t="n">
        <f aca="false">MIN(1,(U$4-1)/11)</f>
        <v>1</v>
      </c>
      <c r="V16" s="28" t="n">
        <f aca="false">MIN(1,(V$4-1)/11)</f>
        <v>1</v>
      </c>
      <c r="W16" s="28" t="n">
        <f aca="false">MIN(1,(W$4-1)/11)</f>
        <v>1</v>
      </c>
      <c r="X16" s="28" t="n">
        <f aca="false">MIN(1,(X$4-1)/11)</f>
        <v>1</v>
      </c>
      <c r="Y16" s="28" t="n">
        <f aca="false">MIN(1,(Y$4-1)/11)</f>
        <v>1</v>
      </c>
    </row>
    <row r="17" customFormat="false" ht="15" hidden="false" customHeight="false" outlineLevel="0" collapsed="false">
      <c r="A17" s="4" t="s">
        <v>139</v>
      </c>
      <c r="B17" s="28" t="n">
        <f aca="false">1-SUM(B18:B22)</f>
        <v>0.87</v>
      </c>
      <c r="C17" s="28" t="n">
        <f aca="false">1-SUM(C18:C22)</f>
        <v>0.866363636363636</v>
      </c>
      <c r="D17" s="28" t="n">
        <f aca="false">1-SUM(D18:D22)</f>
        <v>0.862727272727273</v>
      </c>
      <c r="E17" s="28" t="n">
        <f aca="false">1-SUM(E18:E22)</f>
        <v>0.859090909090909</v>
      </c>
      <c r="F17" s="28" t="n">
        <f aca="false">1-SUM(F18:F22)</f>
        <v>0.855454545454546</v>
      </c>
      <c r="G17" s="28" t="n">
        <f aca="false">1-SUM(G18:G22)</f>
        <v>0.851818181818182</v>
      </c>
      <c r="H17" s="28" t="n">
        <f aca="false">1-SUM(H18:H22)</f>
        <v>0.848181818181818</v>
      </c>
      <c r="I17" s="28" t="n">
        <f aca="false">1-SUM(I18:I22)</f>
        <v>0.844545454545455</v>
      </c>
      <c r="J17" s="28" t="n">
        <f aca="false">1-SUM(J18:J22)</f>
        <v>0.840909090909091</v>
      </c>
      <c r="K17" s="28" t="n">
        <f aca="false">1-SUM(K18:K22)</f>
        <v>0.837272727272727</v>
      </c>
      <c r="L17" s="28" t="n">
        <f aca="false">1-SUM(L18:L22)</f>
        <v>0.833636363636364</v>
      </c>
      <c r="M17" s="28" t="n">
        <f aca="false">1-SUM(M18:M22)</f>
        <v>0.83</v>
      </c>
      <c r="N17" s="28" t="n">
        <f aca="false">1-SUM(N18:N22)</f>
        <v>0.83</v>
      </c>
      <c r="O17" s="28" t="n">
        <f aca="false">1-SUM(O18:O22)</f>
        <v>0.83</v>
      </c>
      <c r="P17" s="28" t="n">
        <f aca="false">1-SUM(P18:P22)</f>
        <v>0.83</v>
      </c>
      <c r="Q17" s="28" t="n">
        <f aca="false">1-SUM(Q18:Q22)</f>
        <v>0.83</v>
      </c>
      <c r="R17" s="28" t="n">
        <f aca="false">1-SUM(R18:R22)</f>
        <v>0.83</v>
      </c>
      <c r="S17" s="28" t="n">
        <f aca="false">1-SUM(S18:S22)</f>
        <v>0.83</v>
      </c>
      <c r="T17" s="28" t="n">
        <f aca="false">1-SUM(T18:T22)</f>
        <v>0.83</v>
      </c>
      <c r="U17" s="28" t="n">
        <f aca="false">1-SUM(U18:U22)</f>
        <v>0.83</v>
      </c>
      <c r="V17" s="28" t="n">
        <f aca="false">1-SUM(V18:V22)</f>
        <v>0.83</v>
      </c>
      <c r="W17" s="28" t="n">
        <f aca="false">1-SUM(W18:W22)</f>
        <v>0.83</v>
      </c>
      <c r="X17" s="28" t="n">
        <f aca="false">1-SUM(X18:X22)</f>
        <v>0.83</v>
      </c>
      <c r="Y17" s="28" t="n">
        <f aca="false">1-SUM(Y18:Y22)</f>
        <v>0.83</v>
      </c>
    </row>
    <row r="18" customFormat="false" ht="15" hidden="false" customHeight="false" outlineLevel="0" collapsed="false">
      <c r="A18" s="4" t="s">
        <v>140</v>
      </c>
      <c r="B18" s="28" t="n">
        <f aca="false">Plan_Supuestos!$G$31+(Plan_Supuestos!$H$31-Plan_Supuestos!$G$31)*B16</f>
        <v>0.08</v>
      </c>
      <c r="C18" s="28" t="n">
        <f aca="false">Plan_Supuestos!$G$31+(Plan_Supuestos!$H$31-Plan_Supuestos!$G$31)*C16</f>
        <v>0.0772727272727273</v>
      </c>
      <c r="D18" s="28" t="n">
        <f aca="false">Plan_Supuestos!$G$31+(Plan_Supuestos!$H$31-Plan_Supuestos!$G$31)*D16</f>
        <v>0.0745454545454546</v>
      </c>
      <c r="E18" s="28" t="n">
        <f aca="false">Plan_Supuestos!$G$31+(Plan_Supuestos!$H$31-Plan_Supuestos!$G$31)*E16</f>
        <v>0.0718181818181818</v>
      </c>
      <c r="F18" s="28" t="n">
        <f aca="false">Plan_Supuestos!$G$31+(Plan_Supuestos!$H$31-Plan_Supuestos!$G$31)*F16</f>
        <v>0.0690909090909091</v>
      </c>
      <c r="G18" s="28" t="n">
        <f aca="false">Plan_Supuestos!$G$31+(Plan_Supuestos!$H$31-Plan_Supuestos!$G$31)*G16</f>
        <v>0.0663636363636364</v>
      </c>
      <c r="H18" s="28" t="n">
        <f aca="false">Plan_Supuestos!$G$31+(Plan_Supuestos!$H$31-Plan_Supuestos!$G$31)*H16</f>
        <v>0.0636363636363636</v>
      </c>
      <c r="I18" s="28" t="n">
        <f aca="false">Plan_Supuestos!$G$31+(Plan_Supuestos!$H$31-Plan_Supuestos!$G$31)*I16</f>
        <v>0.0609090909090909</v>
      </c>
      <c r="J18" s="28" t="n">
        <f aca="false">Plan_Supuestos!$G$31+(Plan_Supuestos!$H$31-Plan_Supuestos!$G$31)*J16</f>
        <v>0.0581818181818182</v>
      </c>
      <c r="K18" s="28" t="n">
        <f aca="false">Plan_Supuestos!$G$31+(Plan_Supuestos!$H$31-Plan_Supuestos!$G$31)*K16</f>
        <v>0.0554545454545455</v>
      </c>
      <c r="L18" s="28" t="n">
        <f aca="false">Plan_Supuestos!$G$31+(Plan_Supuestos!$H$31-Plan_Supuestos!$G$31)*L16</f>
        <v>0.0527272727272727</v>
      </c>
      <c r="M18" s="28" t="n">
        <f aca="false">Plan_Supuestos!$G$31+(Plan_Supuestos!$H$31-Plan_Supuestos!$G$31)*M16</f>
        <v>0.05</v>
      </c>
      <c r="N18" s="28" t="n">
        <f aca="false">Plan_Supuestos!$G$31+(Plan_Supuestos!$H$31-Plan_Supuestos!$G$31)*N16</f>
        <v>0.05</v>
      </c>
      <c r="O18" s="28" t="n">
        <f aca="false">Plan_Supuestos!$G$31+(Plan_Supuestos!$H$31-Plan_Supuestos!$G$31)*O16</f>
        <v>0.05</v>
      </c>
      <c r="P18" s="28" t="n">
        <f aca="false">Plan_Supuestos!$G$31+(Plan_Supuestos!$H$31-Plan_Supuestos!$G$31)*P16</f>
        <v>0.05</v>
      </c>
      <c r="Q18" s="28" t="n">
        <f aca="false">Plan_Supuestos!$G$31+(Plan_Supuestos!$H$31-Plan_Supuestos!$G$31)*Q16</f>
        <v>0.05</v>
      </c>
      <c r="R18" s="28" t="n">
        <f aca="false">Plan_Supuestos!$G$31+(Plan_Supuestos!$H$31-Plan_Supuestos!$G$31)*R16</f>
        <v>0.05</v>
      </c>
      <c r="S18" s="28" t="n">
        <f aca="false">Plan_Supuestos!$G$31+(Plan_Supuestos!$H$31-Plan_Supuestos!$G$31)*S16</f>
        <v>0.05</v>
      </c>
      <c r="T18" s="28" t="n">
        <f aca="false">Plan_Supuestos!$G$31+(Plan_Supuestos!$H$31-Plan_Supuestos!$G$31)*T16</f>
        <v>0.05</v>
      </c>
      <c r="U18" s="28" t="n">
        <f aca="false">Plan_Supuestos!$G$31+(Plan_Supuestos!$H$31-Plan_Supuestos!$G$31)*U16</f>
        <v>0.05</v>
      </c>
      <c r="V18" s="28" t="n">
        <f aca="false">Plan_Supuestos!$G$31+(Plan_Supuestos!$H$31-Plan_Supuestos!$G$31)*V16</f>
        <v>0.05</v>
      </c>
      <c r="W18" s="28" t="n">
        <f aca="false">Plan_Supuestos!$G$31+(Plan_Supuestos!$H$31-Plan_Supuestos!$G$31)*W16</f>
        <v>0.05</v>
      </c>
      <c r="X18" s="28" t="n">
        <f aca="false">Plan_Supuestos!$G$31+(Plan_Supuestos!$H$31-Plan_Supuestos!$G$31)*X16</f>
        <v>0.05</v>
      </c>
      <c r="Y18" s="28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141</v>
      </c>
      <c r="B19" s="28" t="n">
        <f aca="false">Plan_Supuestos!$G$32+(Plan_Supuestos!$H$32-Plan_Supuestos!$G$32)*B16</f>
        <v>0.03</v>
      </c>
      <c r="C19" s="28" t="n">
        <f aca="false">Plan_Supuestos!$G$32+(Plan_Supuestos!$H$32-Plan_Supuestos!$G$32)*C16</f>
        <v>0.0327272727272727</v>
      </c>
      <c r="D19" s="28" t="n">
        <f aca="false">Plan_Supuestos!$G$32+(Plan_Supuestos!$H$32-Plan_Supuestos!$G$32)*D16</f>
        <v>0.0354545454545455</v>
      </c>
      <c r="E19" s="28" t="n">
        <f aca="false">Plan_Supuestos!$G$32+(Plan_Supuestos!$H$32-Plan_Supuestos!$G$32)*E16</f>
        <v>0.0381818181818182</v>
      </c>
      <c r="F19" s="28" t="n">
        <f aca="false">Plan_Supuestos!$G$32+(Plan_Supuestos!$H$32-Plan_Supuestos!$G$32)*F16</f>
        <v>0.0409090909090909</v>
      </c>
      <c r="G19" s="28" t="n">
        <f aca="false">Plan_Supuestos!$G$32+(Plan_Supuestos!$H$32-Plan_Supuestos!$G$32)*G16</f>
        <v>0.0436363636363636</v>
      </c>
      <c r="H19" s="28" t="n">
        <f aca="false">Plan_Supuestos!$G$32+(Plan_Supuestos!$H$32-Plan_Supuestos!$G$32)*H16</f>
        <v>0.0463636363636364</v>
      </c>
      <c r="I19" s="28" t="n">
        <f aca="false">Plan_Supuestos!$G$32+(Plan_Supuestos!$H$32-Plan_Supuestos!$G$32)*I16</f>
        <v>0.0490909090909091</v>
      </c>
      <c r="J19" s="28" t="n">
        <f aca="false">Plan_Supuestos!$G$32+(Plan_Supuestos!$H$32-Plan_Supuestos!$G$32)*J16</f>
        <v>0.0518181818181818</v>
      </c>
      <c r="K19" s="28" t="n">
        <f aca="false">Plan_Supuestos!$G$32+(Plan_Supuestos!$H$32-Plan_Supuestos!$G$32)*K16</f>
        <v>0.0545454545454546</v>
      </c>
      <c r="L19" s="28" t="n">
        <f aca="false">Plan_Supuestos!$G$32+(Plan_Supuestos!$H$32-Plan_Supuestos!$G$32)*L16</f>
        <v>0.0572727272727273</v>
      </c>
      <c r="M19" s="28" t="n">
        <f aca="false">Plan_Supuestos!$G$32+(Plan_Supuestos!$H$32-Plan_Supuestos!$G$32)*M16</f>
        <v>0.06</v>
      </c>
      <c r="N19" s="28" t="n">
        <f aca="false">Plan_Supuestos!$G$32+(Plan_Supuestos!$H$32-Plan_Supuestos!$G$32)*N16</f>
        <v>0.06</v>
      </c>
      <c r="O19" s="28" t="n">
        <f aca="false">Plan_Supuestos!$G$32+(Plan_Supuestos!$H$32-Plan_Supuestos!$G$32)*O16</f>
        <v>0.06</v>
      </c>
      <c r="P19" s="28" t="n">
        <f aca="false">Plan_Supuestos!$G$32+(Plan_Supuestos!$H$32-Plan_Supuestos!$G$32)*P16</f>
        <v>0.06</v>
      </c>
      <c r="Q19" s="28" t="n">
        <f aca="false">Plan_Supuestos!$G$32+(Plan_Supuestos!$H$32-Plan_Supuestos!$G$32)*Q16</f>
        <v>0.06</v>
      </c>
      <c r="R19" s="28" t="n">
        <f aca="false">Plan_Supuestos!$G$32+(Plan_Supuestos!$H$32-Plan_Supuestos!$G$32)*R16</f>
        <v>0.06</v>
      </c>
      <c r="S19" s="28" t="n">
        <f aca="false">Plan_Supuestos!$G$32+(Plan_Supuestos!$H$32-Plan_Supuestos!$G$32)*S16</f>
        <v>0.06</v>
      </c>
      <c r="T19" s="28" t="n">
        <f aca="false">Plan_Supuestos!$G$32+(Plan_Supuestos!$H$32-Plan_Supuestos!$G$32)*T16</f>
        <v>0.06</v>
      </c>
      <c r="U19" s="28" t="n">
        <f aca="false">Plan_Supuestos!$G$32+(Plan_Supuestos!$H$32-Plan_Supuestos!$G$32)*U16</f>
        <v>0.06</v>
      </c>
      <c r="V19" s="28" t="n">
        <f aca="false">Plan_Supuestos!$G$32+(Plan_Supuestos!$H$32-Plan_Supuestos!$G$32)*V16</f>
        <v>0.06</v>
      </c>
      <c r="W19" s="28" t="n">
        <f aca="false">Plan_Supuestos!$G$32+(Plan_Supuestos!$H$32-Plan_Supuestos!$G$32)*W16</f>
        <v>0.06</v>
      </c>
      <c r="X19" s="28" t="n">
        <f aca="false">Plan_Supuestos!$G$32+(Plan_Supuestos!$H$32-Plan_Supuestos!$G$32)*X16</f>
        <v>0.06</v>
      </c>
      <c r="Y19" s="28" t="n">
        <f aca="false">Plan_Supuestos!$G$32+(Plan_Supuestos!$H$32-Plan_Supuestos!$G$32)*Y16</f>
        <v>0.06</v>
      </c>
    </row>
    <row r="20" customFormat="false" ht="15" hidden="false" customHeight="false" outlineLevel="0" collapsed="false">
      <c r="A20" s="4" t="s">
        <v>142</v>
      </c>
      <c r="B20" s="28" t="n">
        <f aca="false">Plan_Supuestos!$G$33+(Plan_Supuestos!$H$33-Plan_Supuestos!$G$33)*B16</f>
        <v>0.02</v>
      </c>
      <c r="C20" s="28" t="n">
        <f aca="false">Plan_Supuestos!$G$33+(Plan_Supuestos!$H$33-Plan_Supuestos!$G$33)*C16</f>
        <v>0.02</v>
      </c>
      <c r="D20" s="28" t="n">
        <f aca="false">Plan_Supuestos!$G$33+(Plan_Supuestos!$H$33-Plan_Supuestos!$G$33)*D16</f>
        <v>0.02</v>
      </c>
      <c r="E20" s="28" t="n">
        <f aca="false">Plan_Supuestos!$G$33+(Plan_Supuestos!$H$33-Plan_Supuestos!$G$33)*E16</f>
        <v>0.02</v>
      </c>
      <c r="F20" s="28" t="n">
        <f aca="false">Plan_Supuestos!$G$33+(Plan_Supuestos!$H$33-Plan_Supuestos!$G$33)*F16</f>
        <v>0.02</v>
      </c>
      <c r="G20" s="28" t="n">
        <f aca="false">Plan_Supuestos!$G$33+(Plan_Supuestos!$H$33-Plan_Supuestos!$G$33)*G16</f>
        <v>0.02</v>
      </c>
      <c r="H20" s="28" t="n">
        <f aca="false">Plan_Supuestos!$G$33+(Plan_Supuestos!$H$33-Plan_Supuestos!$G$33)*H16</f>
        <v>0.02</v>
      </c>
      <c r="I20" s="28" t="n">
        <f aca="false">Plan_Supuestos!$G$33+(Plan_Supuestos!$H$33-Plan_Supuestos!$G$33)*I16</f>
        <v>0.02</v>
      </c>
      <c r="J20" s="28" t="n">
        <f aca="false">Plan_Supuestos!$G$33+(Plan_Supuestos!$H$33-Plan_Supuestos!$G$33)*J16</f>
        <v>0.02</v>
      </c>
      <c r="K20" s="28" t="n">
        <f aca="false">Plan_Supuestos!$G$33+(Plan_Supuestos!$H$33-Plan_Supuestos!$G$33)*K16</f>
        <v>0.02</v>
      </c>
      <c r="L20" s="28" t="n">
        <f aca="false">Plan_Supuestos!$G$33+(Plan_Supuestos!$H$33-Plan_Supuestos!$G$33)*L16</f>
        <v>0.02</v>
      </c>
      <c r="M20" s="28" t="n">
        <f aca="false">Plan_Supuestos!$G$33+(Plan_Supuestos!$H$33-Plan_Supuestos!$G$33)*M16</f>
        <v>0.02</v>
      </c>
      <c r="N20" s="28" t="n">
        <f aca="false">Plan_Supuestos!$G$33+(Plan_Supuestos!$H$33-Plan_Supuestos!$G$33)*N16</f>
        <v>0.02</v>
      </c>
      <c r="O20" s="28" t="n">
        <f aca="false">Plan_Supuestos!$G$33+(Plan_Supuestos!$H$33-Plan_Supuestos!$G$33)*O16</f>
        <v>0.02</v>
      </c>
      <c r="P20" s="28" t="n">
        <f aca="false">Plan_Supuestos!$G$33+(Plan_Supuestos!$H$33-Plan_Supuestos!$G$33)*P16</f>
        <v>0.02</v>
      </c>
      <c r="Q20" s="28" t="n">
        <f aca="false">Plan_Supuestos!$G$33+(Plan_Supuestos!$H$33-Plan_Supuestos!$G$33)*Q16</f>
        <v>0.02</v>
      </c>
      <c r="R20" s="28" t="n">
        <f aca="false">Plan_Supuestos!$G$33+(Plan_Supuestos!$H$33-Plan_Supuestos!$G$33)*R16</f>
        <v>0.02</v>
      </c>
      <c r="S20" s="28" t="n">
        <f aca="false">Plan_Supuestos!$G$33+(Plan_Supuestos!$H$33-Plan_Supuestos!$G$33)*S16</f>
        <v>0.02</v>
      </c>
      <c r="T20" s="28" t="n">
        <f aca="false">Plan_Supuestos!$G$33+(Plan_Supuestos!$H$33-Plan_Supuestos!$G$33)*T16</f>
        <v>0.02</v>
      </c>
      <c r="U20" s="28" t="n">
        <f aca="false">Plan_Supuestos!$G$33+(Plan_Supuestos!$H$33-Plan_Supuestos!$G$33)*U16</f>
        <v>0.02</v>
      </c>
      <c r="V20" s="28" t="n">
        <f aca="false">Plan_Supuestos!$G$33+(Plan_Supuestos!$H$33-Plan_Supuestos!$G$33)*V16</f>
        <v>0.02</v>
      </c>
      <c r="W20" s="28" t="n">
        <f aca="false">Plan_Supuestos!$G$33+(Plan_Supuestos!$H$33-Plan_Supuestos!$G$33)*W16</f>
        <v>0.02</v>
      </c>
      <c r="X20" s="28" t="n">
        <f aca="false">Plan_Supuestos!$G$33+(Plan_Supuestos!$H$33-Plan_Supuestos!$G$33)*X16</f>
        <v>0.02</v>
      </c>
      <c r="Y20" s="28" t="n">
        <f aca="false">Plan_Supuestos!$G$33+(Plan_Supuestos!$H$33-Plan_Supuestos!$G$33)*Y16</f>
        <v>0.02</v>
      </c>
    </row>
    <row r="21" customFormat="false" ht="15" hidden="false" customHeight="false" outlineLevel="0" collapsed="false">
      <c r="A21" s="4" t="s">
        <v>143</v>
      </c>
      <c r="B21" s="28" t="n">
        <f aca="false">Plan_Supuestos!$G$34+(Plan_Supuestos!$B$25-Plan_Supuestos!$G$34)*B16</f>
        <v>0</v>
      </c>
      <c r="C21" s="28" t="n">
        <f aca="false">Plan_Supuestos!$G$34+(Plan_Supuestos!$B$25-Plan_Supuestos!$G$34)*C16</f>
        <v>0.00363636363636364</v>
      </c>
      <c r="D21" s="28" t="n">
        <f aca="false">Plan_Supuestos!$G$34+(Plan_Supuestos!$B$25-Plan_Supuestos!$G$34)*D16</f>
        <v>0.00727272727272727</v>
      </c>
      <c r="E21" s="28" t="n">
        <f aca="false">Plan_Supuestos!$G$34+(Plan_Supuestos!$B$25-Plan_Supuestos!$G$34)*E16</f>
        <v>0.0109090909090909</v>
      </c>
      <c r="F21" s="28" t="n">
        <f aca="false">Plan_Supuestos!$G$34+(Plan_Supuestos!$B$25-Plan_Supuestos!$G$34)*F16</f>
        <v>0.0145454545454545</v>
      </c>
      <c r="G21" s="28" t="n">
        <f aca="false">Plan_Supuestos!$G$34+(Plan_Supuestos!$B$25-Plan_Supuestos!$G$34)*G16</f>
        <v>0.0181818181818182</v>
      </c>
      <c r="H21" s="28" t="n">
        <f aca="false">Plan_Supuestos!$G$34+(Plan_Supuestos!$B$25-Plan_Supuestos!$G$34)*H16</f>
        <v>0.0218181818181818</v>
      </c>
      <c r="I21" s="28" t="n">
        <f aca="false">Plan_Supuestos!$G$34+(Plan_Supuestos!$B$25-Plan_Supuestos!$G$34)*I16</f>
        <v>0.0254545454545455</v>
      </c>
      <c r="J21" s="28" t="n">
        <f aca="false">Plan_Supuestos!$G$34+(Plan_Supuestos!$B$25-Plan_Supuestos!$G$34)*J16</f>
        <v>0.0290909090909091</v>
      </c>
      <c r="K21" s="28" t="n">
        <f aca="false">Plan_Supuestos!$G$34+(Plan_Supuestos!$B$25-Plan_Supuestos!$G$34)*K16</f>
        <v>0.0327272727272727</v>
      </c>
      <c r="L21" s="28" t="n">
        <f aca="false">Plan_Supuestos!$G$34+(Plan_Supuestos!$B$25-Plan_Supuestos!$G$34)*L16</f>
        <v>0.0363636363636364</v>
      </c>
      <c r="M21" s="28" t="n">
        <f aca="false">Plan_Supuestos!$G$34+(Plan_Supuestos!$B$25-Plan_Supuestos!$G$34)*M16</f>
        <v>0.04</v>
      </c>
      <c r="N21" s="28" t="n">
        <f aca="false">Plan_Supuestos!$G$34+(Plan_Supuestos!$B$25-Plan_Supuestos!$G$34)*N16</f>
        <v>0.04</v>
      </c>
      <c r="O21" s="28" t="n">
        <f aca="false">Plan_Supuestos!$G$34+(Plan_Supuestos!$B$25-Plan_Supuestos!$G$34)*O16</f>
        <v>0.04</v>
      </c>
      <c r="P21" s="28" t="n">
        <f aca="false">Plan_Supuestos!$G$34+(Plan_Supuestos!$B$25-Plan_Supuestos!$G$34)*P16</f>
        <v>0.04</v>
      </c>
      <c r="Q21" s="28" t="n">
        <f aca="false">Plan_Supuestos!$G$34+(Plan_Supuestos!$B$25-Plan_Supuestos!$G$34)*Q16</f>
        <v>0.04</v>
      </c>
      <c r="R21" s="28" t="n">
        <f aca="false">Plan_Supuestos!$G$34+(Plan_Supuestos!$B$25-Plan_Supuestos!$G$34)*R16</f>
        <v>0.04</v>
      </c>
      <c r="S21" s="28" t="n">
        <f aca="false">Plan_Supuestos!$G$34+(Plan_Supuestos!$B$25-Plan_Supuestos!$G$34)*S16</f>
        <v>0.04</v>
      </c>
      <c r="T21" s="28" t="n">
        <f aca="false">Plan_Supuestos!$G$34+(Plan_Supuestos!$B$25-Plan_Supuestos!$G$34)*T16</f>
        <v>0.04</v>
      </c>
      <c r="U21" s="28" t="n">
        <f aca="false">Plan_Supuestos!$G$34+(Plan_Supuestos!$B$25-Plan_Supuestos!$G$34)*U16</f>
        <v>0.04</v>
      </c>
      <c r="V21" s="28" t="n">
        <f aca="false">Plan_Supuestos!$G$34+(Plan_Supuestos!$B$25-Plan_Supuestos!$G$34)*V16</f>
        <v>0.04</v>
      </c>
      <c r="W21" s="28" t="n">
        <f aca="false">Plan_Supuestos!$G$34+(Plan_Supuestos!$B$25-Plan_Supuestos!$G$34)*W16</f>
        <v>0.04</v>
      </c>
      <c r="X21" s="28" t="n">
        <f aca="false">Plan_Supuestos!$G$34+(Plan_Supuestos!$B$25-Plan_Supuestos!$G$34)*X16</f>
        <v>0.04</v>
      </c>
      <c r="Y21" s="28" t="n">
        <f aca="false">Plan_Supuestos!$G$34+(Plan_Supuestos!$B$25-Plan_Supuestos!$G$34)*Y16</f>
        <v>0.04</v>
      </c>
    </row>
    <row r="22" customFormat="false" ht="15" hidden="false" customHeight="false" outlineLevel="0" collapsed="false">
      <c r="A22" s="4" t="s">
        <v>144</v>
      </c>
      <c r="B22" s="28" t="n">
        <f aca="false">Plan_Supuestos!$G$35+(Plan_Supuestos!$H$35-Plan_Supuestos!$G$35)*B16</f>
        <v>0</v>
      </c>
      <c r="C22" s="28" t="n">
        <f aca="false">Plan_Supuestos!$G$35+(Plan_Supuestos!$H$35-Plan_Supuestos!$G$35)*C16</f>
        <v>0</v>
      </c>
      <c r="D22" s="28" t="n">
        <f aca="false">Plan_Supuestos!$G$35+(Plan_Supuestos!$H$35-Plan_Supuestos!$G$35)*D16</f>
        <v>0</v>
      </c>
      <c r="E22" s="28" t="n">
        <f aca="false">Plan_Supuestos!$G$35+(Plan_Supuestos!$H$35-Plan_Supuestos!$G$35)*E16</f>
        <v>0</v>
      </c>
      <c r="F22" s="28" t="n">
        <f aca="false">Plan_Supuestos!$G$35+(Plan_Supuestos!$H$35-Plan_Supuestos!$G$35)*F16</f>
        <v>0</v>
      </c>
      <c r="G22" s="28" t="n">
        <f aca="false">Plan_Supuestos!$G$35+(Plan_Supuestos!$H$35-Plan_Supuestos!$G$35)*G16</f>
        <v>0</v>
      </c>
      <c r="H22" s="28" t="n">
        <f aca="false">Plan_Supuestos!$G$35+(Plan_Supuestos!$H$35-Plan_Supuestos!$G$35)*H16</f>
        <v>0</v>
      </c>
      <c r="I22" s="28" t="n">
        <f aca="false">Plan_Supuestos!$G$35+(Plan_Supuestos!$H$35-Plan_Supuestos!$G$35)*I16</f>
        <v>0</v>
      </c>
      <c r="J22" s="28" t="n">
        <f aca="false">Plan_Supuestos!$G$35+(Plan_Supuestos!$H$35-Plan_Supuestos!$G$35)*J16</f>
        <v>0</v>
      </c>
      <c r="K22" s="28" t="n">
        <f aca="false">Plan_Supuestos!$G$35+(Plan_Supuestos!$H$35-Plan_Supuestos!$G$35)*K16</f>
        <v>0</v>
      </c>
      <c r="L22" s="28" t="n">
        <f aca="false">Plan_Supuestos!$G$35+(Plan_Supuestos!$H$35-Plan_Supuestos!$G$35)*L16</f>
        <v>0</v>
      </c>
      <c r="M22" s="28" t="n">
        <f aca="false">Plan_Supuestos!$G$35+(Plan_Supuestos!$H$35-Plan_Supuestos!$G$35)*M16</f>
        <v>0</v>
      </c>
      <c r="N22" s="28" t="n">
        <f aca="false">Plan_Supuestos!$G$35+(Plan_Supuestos!$H$35-Plan_Supuestos!$G$35)*N16</f>
        <v>0</v>
      </c>
      <c r="O22" s="28" t="n">
        <f aca="false">Plan_Supuestos!$G$35+(Plan_Supuestos!$H$35-Plan_Supuestos!$G$35)*O16</f>
        <v>0</v>
      </c>
      <c r="P22" s="28" t="n">
        <f aca="false">Plan_Supuestos!$G$35+(Plan_Supuestos!$H$35-Plan_Supuestos!$G$35)*P16</f>
        <v>0</v>
      </c>
      <c r="Q22" s="28" t="n">
        <f aca="false">Plan_Supuestos!$G$35+(Plan_Supuestos!$H$35-Plan_Supuestos!$G$35)*Q16</f>
        <v>0</v>
      </c>
      <c r="R22" s="28" t="n">
        <f aca="false">Plan_Supuestos!$G$35+(Plan_Supuestos!$H$35-Plan_Supuestos!$G$35)*R16</f>
        <v>0</v>
      </c>
      <c r="S22" s="28" t="n">
        <f aca="false">Plan_Supuestos!$G$35+(Plan_Supuestos!$H$35-Plan_Supuestos!$G$35)*S16</f>
        <v>0</v>
      </c>
      <c r="T22" s="28" t="n">
        <f aca="false">Plan_Supuestos!$G$35+(Plan_Supuestos!$H$35-Plan_Supuestos!$G$35)*T16</f>
        <v>0</v>
      </c>
      <c r="U22" s="28" t="n">
        <f aca="false">Plan_Supuestos!$G$35+(Plan_Supuestos!$H$35-Plan_Supuestos!$G$35)*U16</f>
        <v>0</v>
      </c>
      <c r="V22" s="28" t="n">
        <f aca="false">Plan_Supuestos!$G$35+(Plan_Supuestos!$H$35-Plan_Supuestos!$G$35)*V16</f>
        <v>0</v>
      </c>
      <c r="W22" s="28" t="n">
        <f aca="false">Plan_Supuestos!$G$35+(Plan_Supuestos!$H$35-Plan_Supuestos!$G$35)*W16</f>
        <v>0</v>
      </c>
      <c r="X22" s="28" t="n">
        <f aca="false">Plan_Supuestos!$G$35+(Plan_Supuestos!$H$35-Plan_Supuestos!$G$35)*X16</f>
        <v>0</v>
      </c>
      <c r="Y22" s="28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145</v>
      </c>
      <c r="B23" s="6" t="n">
        <f aca="false">SUMPRODUCT(B17:B22,Plan_Supuestos!$D$30:$D$35)+(Plan_Supuestos!$B$43+(Plan_Supuestos!$B$44-Plan_Supuestos!$B$43)*B16)*Plan_Supuestos!$B$45</f>
        <v>202.244271604837</v>
      </c>
      <c r="C23" s="6" t="n">
        <f aca="false">SUMPRODUCT(C17:C22,Plan_Supuestos!$D$30:$D$35)+(Plan_Supuestos!$B$43+(Plan_Supuestos!$B$44-Plan_Supuestos!$B$43)*C16)*Plan_Supuestos!$B$45</f>
        <v>205.230783065312</v>
      </c>
      <c r="D23" s="6" t="n">
        <f aca="false">SUMPRODUCT(D17:D22,Plan_Supuestos!$D$30:$D$35)+(Plan_Supuestos!$B$43+(Plan_Supuestos!$B$44-Plan_Supuestos!$B$43)*D16)*Plan_Supuestos!$B$45</f>
        <v>208.217294525788</v>
      </c>
      <c r="E23" s="6" t="n">
        <f aca="false">SUMPRODUCT(E17:E22,Plan_Supuestos!$D$30:$D$35)+(Plan_Supuestos!$B$43+(Plan_Supuestos!$B$44-Plan_Supuestos!$B$43)*E16)*Plan_Supuestos!$B$45</f>
        <v>211.203805986263</v>
      </c>
      <c r="F23" s="6" t="n">
        <f aca="false">SUMPRODUCT(F17:F22,Plan_Supuestos!$D$30:$D$35)+(Plan_Supuestos!$B$43+(Plan_Supuestos!$B$44-Plan_Supuestos!$B$43)*F16)*Plan_Supuestos!$B$45</f>
        <v>214.190317446739</v>
      </c>
      <c r="G23" s="6" t="n">
        <f aca="false">SUMPRODUCT(G17:G22,Plan_Supuestos!$D$30:$D$35)+(Plan_Supuestos!$B$43+(Plan_Supuestos!$B$44-Plan_Supuestos!$B$43)*G16)*Plan_Supuestos!$B$45</f>
        <v>217.176828907214</v>
      </c>
      <c r="H23" s="6" t="n">
        <f aca="false">SUMPRODUCT(H17:H22,Plan_Supuestos!$D$30:$D$35)+(Plan_Supuestos!$B$43+(Plan_Supuestos!$B$44-Plan_Supuestos!$B$43)*H16)*Plan_Supuestos!$B$45</f>
        <v>220.16334036769</v>
      </c>
      <c r="I23" s="6" t="n">
        <f aca="false">SUMPRODUCT(I17:I22,Plan_Supuestos!$D$30:$D$35)+(Plan_Supuestos!$B$43+(Plan_Supuestos!$B$44-Plan_Supuestos!$B$43)*I16)*Plan_Supuestos!$B$45</f>
        <v>223.149851828165</v>
      </c>
      <c r="J23" s="6" t="n">
        <f aca="false">SUMPRODUCT(J17:J22,Plan_Supuestos!$D$30:$D$35)+(Plan_Supuestos!$B$43+(Plan_Supuestos!$B$44-Plan_Supuestos!$B$43)*J16)*Plan_Supuestos!$B$45</f>
        <v>226.136363288641</v>
      </c>
      <c r="K23" s="6" t="n">
        <f aca="false">SUMPRODUCT(K17:K22,Plan_Supuestos!$D$30:$D$35)+(Plan_Supuestos!$B$43+(Plan_Supuestos!$B$44-Plan_Supuestos!$B$43)*K16)*Plan_Supuestos!$B$45</f>
        <v>229.122874749117</v>
      </c>
      <c r="L23" s="6" t="n">
        <f aca="false">SUMPRODUCT(L17:L22,Plan_Supuestos!$D$30:$D$35)+(Plan_Supuestos!$B$43+(Plan_Supuestos!$B$44-Plan_Supuestos!$B$43)*L16)*Plan_Supuestos!$B$45</f>
        <v>232.109386209592</v>
      </c>
      <c r="M23" s="6" t="n">
        <f aca="false">SUMPRODUCT(M17:M22,Plan_Supuestos!$D$30:$D$35)+(Plan_Supuestos!$B$43+(Plan_Supuestos!$B$44-Plan_Supuestos!$B$43)*M16)*Plan_Supuestos!$B$45</f>
        <v>235.095897670068</v>
      </c>
      <c r="N23" s="6" t="n">
        <f aca="false">SUMPRODUCT(N17:N22,Plan_Supuestos!$D$30:$D$35)+(Plan_Supuestos!$B$43+(Plan_Supuestos!$B$44-Plan_Supuestos!$B$43)*N16)*Plan_Supuestos!$B$45</f>
        <v>235.095897670068</v>
      </c>
      <c r="O23" s="6" t="n">
        <f aca="false">SUMPRODUCT(O17:O22,Plan_Supuestos!$D$30:$D$35)+(Plan_Supuestos!$B$43+(Plan_Supuestos!$B$44-Plan_Supuestos!$B$43)*O16)*Plan_Supuestos!$B$45</f>
        <v>235.095897670068</v>
      </c>
      <c r="P23" s="6" t="n">
        <f aca="false">SUMPRODUCT(P17:P22,Plan_Supuestos!$D$30:$D$35)+(Plan_Supuestos!$B$43+(Plan_Supuestos!$B$44-Plan_Supuestos!$B$43)*P16)*Plan_Supuestos!$B$45</f>
        <v>235.095897670068</v>
      </c>
      <c r="Q23" s="6" t="n">
        <f aca="false">SUMPRODUCT(Q17:Q22,Plan_Supuestos!$D$30:$D$35)+(Plan_Supuestos!$B$43+(Plan_Supuestos!$B$44-Plan_Supuestos!$B$43)*Q16)*Plan_Supuestos!$B$45</f>
        <v>235.095897670068</v>
      </c>
      <c r="R23" s="6" t="n">
        <f aca="false">SUMPRODUCT(R17:R22,Plan_Supuestos!$D$30:$D$35)+(Plan_Supuestos!$B$43+(Plan_Supuestos!$B$44-Plan_Supuestos!$B$43)*R16)*Plan_Supuestos!$B$45</f>
        <v>235.095897670068</v>
      </c>
      <c r="S23" s="6" t="n">
        <f aca="false">SUMPRODUCT(S17:S22,Plan_Supuestos!$D$30:$D$35)+(Plan_Supuestos!$B$43+(Plan_Supuestos!$B$44-Plan_Supuestos!$B$43)*S16)*Plan_Supuestos!$B$45</f>
        <v>235.095897670068</v>
      </c>
      <c r="T23" s="6" t="n">
        <f aca="false">SUMPRODUCT(T17:T22,Plan_Supuestos!$D$30:$D$35)+(Plan_Supuestos!$B$43+(Plan_Supuestos!$B$44-Plan_Supuestos!$B$43)*T16)*Plan_Supuestos!$B$45</f>
        <v>235.095897670068</v>
      </c>
      <c r="U23" s="6" t="n">
        <f aca="false">SUMPRODUCT(U17:U22,Plan_Supuestos!$D$30:$D$35)+(Plan_Supuestos!$B$43+(Plan_Supuestos!$B$44-Plan_Supuestos!$B$43)*U16)*Plan_Supuestos!$B$45</f>
        <v>235.095897670068</v>
      </c>
      <c r="V23" s="6" t="n">
        <f aca="false">SUMPRODUCT(V17:V22,Plan_Supuestos!$D$30:$D$35)+(Plan_Supuestos!$B$43+(Plan_Supuestos!$B$44-Plan_Supuestos!$B$43)*V16)*Plan_Supuestos!$B$45</f>
        <v>235.095897670068</v>
      </c>
      <c r="W23" s="6" t="n">
        <f aca="false">SUMPRODUCT(W17:W22,Plan_Supuestos!$D$30:$D$35)+(Plan_Supuestos!$B$43+(Plan_Supuestos!$B$44-Plan_Supuestos!$B$43)*W16)*Plan_Supuestos!$B$45</f>
        <v>235.095897670068</v>
      </c>
      <c r="X23" s="6" t="n">
        <f aca="false">SUMPRODUCT(X17:X22,Plan_Supuestos!$D$30:$D$35)+(Plan_Supuestos!$B$43+(Plan_Supuestos!$B$44-Plan_Supuestos!$B$43)*X16)*Plan_Supuestos!$B$45</f>
        <v>235.095897670068</v>
      </c>
      <c r="Y23" s="6" t="n">
        <f aca="false">SUMPRODUCT(Y17:Y22,Plan_Supuestos!$D$30:$D$35)+(Plan_Supuestos!$B$43+(Plan_Supuestos!$B$44-Plan_Supuestos!$B$43)*Y16)*Plan_Supuestos!$B$45</f>
        <v>235.095897670068</v>
      </c>
    </row>
    <row r="24" customFormat="false" ht="15" hidden="false" customHeight="false" outlineLevel="0" collapsed="false">
      <c r="A24" s="4" t="s">
        <v>146</v>
      </c>
      <c r="B24" s="6" t="n">
        <f aca="false">Plan_Supuestos!$B$26*MIN(1,B$4/6)*Plan_Supuestos!$B$8*SUMPRODUCT(B17:B22,Plan_Supuestos!$E$30:$E$35)</f>
        <v>0</v>
      </c>
      <c r="C24" s="6" t="n">
        <f aca="false">Plan_Supuestos!$B$26*MIN(1,C$4/6)*Plan_Supuestos!$B$8*SUMPRODUCT(C17:C22,Plan_Supuestos!$E$30:$E$35)</f>
        <v>0</v>
      </c>
      <c r="D24" s="6" t="n">
        <f aca="false">Plan_Supuestos!$B$26*MIN(1,D$4/6)*Plan_Supuestos!$B$8*SUMPRODUCT(D17:D22,Plan_Supuestos!$E$30:$E$35)</f>
        <v>0</v>
      </c>
      <c r="E24" s="6" t="n">
        <f aca="false">Plan_Supuestos!$B$26*MIN(1,E$4/6)*Plan_Supuestos!$B$8*SUMPRODUCT(E17:E22,Plan_Supuestos!$E$30:$E$35)</f>
        <v>0</v>
      </c>
      <c r="F24" s="6" t="n">
        <f aca="false">Plan_Supuestos!$B$26*MIN(1,F$4/6)*Plan_Supuestos!$B$8*SUMPRODUCT(F17:F22,Plan_Supuestos!$E$30:$E$35)</f>
        <v>0</v>
      </c>
      <c r="G24" s="6" t="n">
        <f aca="false">Plan_Supuestos!$B$26*MIN(1,G$4/6)*Plan_Supuestos!$B$8*SUMPRODUCT(G17:G22,Plan_Supuestos!$E$30:$E$35)</f>
        <v>0</v>
      </c>
      <c r="H24" s="6" t="n">
        <f aca="false">Plan_Supuestos!$B$26*MIN(1,H$4/6)*Plan_Supuestos!$B$8*SUMPRODUCT(H17:H22,Plan_Supuestos!$E$30:$E$35)</f>
        <v>0</v>
      </c>
      <c r="I24" s="6" t="n">
        <f aca="false">Plan_Supuestos!$B$26*MIN(1,I$4/6)*Plan_Supuestos!$B$8*SUMPRODUCT(I17:I22,Plan_Supuestos!$E$30:$E$35)</f>
        <v>0</v>
      </c>
      <c r="J24" s="6" t="n">
        <f aca="false">Plan_Supuestos!$B$26*MIN(1,J$4/6)*Plan_Supuestos!$B$8*SUMPRODUCT(J17:J22,Plan_Supuestos!$E$30:$E$35)</f>
        <v>0</v>
      </c>
      <c r="K24" s="6" t="n">
        <f aca="false">Plan_Supuestos!$B$26*MIN(1,K$4/6)*Plan_Supuestos!$B$8*SUMPRODUCT(K17:K22,Plan_Supuestos!$E$30:$E$35)</f>
        <v>0</v>
      </c>
      <c r="L24" s="6" t="n">
        <f aca="false">Plan_Supuestos!$B$26*MIN(1,L$4/6)*Plan_Supuestos!$B$8*SUMPRODUCT(L17:L22,Plan_Supuestos!$E$30:$E$35)</f>
        <v>0</v>
      </c>
      <c r="M24" s="6" t="n">
        <f aca="false">Plan_Supuestos!$B$26*MIN(1,M$4/6)*Plan_Supuestos!$B$8*SUMPRODUCT(M17:M22,Plan_Supuestos!$E$30:$E$35)</f>
        <v>0</v>
      </c>
      <c r="N24" s="6" t="n">
        <f aca="false">Plan_Supuestos!$B$26*MIN(1,N$4/6)*Plan_Supuestos!$B$8*SUMPRODUCT(N17:N22,Plan_Supuestos!$E$30:$E$35)</f>
        <v>0</v>
      </c>
      <c r="O24" s="6" t="n">
        <f aca="false">Plan_Supuestos!$B$26*MIN(1,O$4/6)*Plan_Supuestos!$B$8*SUMPRODUCT(O17:O22,Plan_Supuestos!$E$30:$E$35)</f>
        <v>0</v>
      </c>
      <c r="P24" s="6" t="n">
        <f aca="false">Plan_Supuestos!$B$26*MIN(1,P$4/6)*Plan_Supuestos!$B$8*SUMPRODUCT(P17:P22,Plan_Supuestos!$E$30:$E$35)</f>
        <v>0</v>
      </c>
      <c r="Q24" s="6" t="n">
        <f aca="false">Plan_Supuestos!$B$26*MIN(1,Q$4/6)*Plan_Supuestos!$B$8*SUMPRODUCT(Q17:Q22,Plan_Supuestos!$E$30:$E$35)</f>
        <v>0</v>
      </c>
      <c r="R24" s="6" t="n">
        <f aca="false">Plan_Supuestos!$B$26*MIN(1,R$4/6)*Plan_Supuestos!$B$8*SUMPRODUCT(R17:R22,Plan_Supuestos!$E$30:$E$35)</f>
        <v>0</v>
      </c>
      <c r="S24" s="6" t="n">
        <f aca="false">Plan_Supuestos!$B$26*MIN(1,S$4/6)*Plan_Supuestos!$B$8*SUMPRODUCT(S17:S22,Plan_Supuestos!$E$30:$E$35)</f>
        <v>0</v>
      </c>
      <c r="T24" s="6" t="n">
        <f aca="false">Plan_Supuestos!$B$26*MIN(1,T$4/6)*Plan_Supuestos!$B$8*SUMPRODUCT(T17:T22,Plan_Supuestos!$E$30:$E$35)</f>
        <v>0</v>
      </c>
      <c r="U24" s="6" t="n">
        <f aca="false">Plan_Supuestos!$B$26*MIN(1,U$4/6)*Plan_Supuestos!$B$8*SUMPRODUCT(U17:U22,Plan_Supuestos!$E$30:$E$35)</f>
        <v>0</v>
      </c>
      <c r="V24" s="6" t="n">
        <f aca="false">Plan_Supuestos!$B$26*MIN(1,V$4/6)*Plan_Supuestos!$B$8*SUMPRODUCT(V17:V22,Plan_Supuestos!$E$30:$E$35)</f>
        <v>0</v>
      </c>
      <c r="W24" s="6" t="n">
        <f aca="false">Plan_Supuestos!$B$26*MIN(1,W$4/6)*Plan_Supuestos!$B$8*SUMPRODUCT(W17:W22,Plan_Supuestos!$E$30:$E$35)</f>
        <v>0</v>
      </c>
      <c r="X24" s="6" t="n">
        <f aca="false">Plan_Supuestos!$B$26*MIN(1,X$4/6)*Plan_Supuestos!$B$8*SUMPRODUCT(X17:X22,Plan_Supuestos!$E$30:$E$35)</f>
        <v>0</v>
      </c>
      <c r="Y24" s="6" t="n">
        <f aca="false">Plan_Supuestos!$B$26*MIN(1,Y$4/6)*Plan_Supuestos!$B$8*SUMPRODUCT(Y17:Y22,Plan_Supuestos!$E$30:$E$35)</f>
        <v>0</v>
      </c>
    </row>
    <row r="25" customFormat="false" ht="15" hidden="false" customHeight="false" outlineLevel="0" collapsed="false">
      <c r="A25" s="4" t="s">
        <v>147</v>
      </c>
      <c r="B25" s="5" t="n">
        <f aca="false">B12*(B23+B24)</f>
        <v>25027.7286110985</v>
      </c>
      <c r="C25" s="5" t="n">
        <f aca="false">C12*(C23+C24)</f>
        <v>26834.2876041692</v>
      </c>
      <c r="D25" s="5" t="n">
        <f aca="false">D12*(D23+D24)</f>
        <v>28765.8819800474</v>
      </c>
      <c r="E25" s="5" t="n">
        <f aca="false">E12*(E23+E24)</f>
        <v>30830.9594763504</v>
      </c>
      <c r="F25" s="5" t="n">
        <f aca="false">F12*(F23+F24)</f>
        <v>33038.531131986</v>
      </c>
      <c r="G25" s="5" t="n">
        <f aca="false">G12*(G23+G24)</f>
        <v>35398.2086448433</v>
      </c>
      <c r="H25" s="5" t="n">
        <f aca="false">H12*(H23+H24)</f>
        <v>37920.2442086319</v>
      </c>
      <c r="I25" s="5" t="n">
        <f aca="false">I12*(I23+I24)</f>
        <v>40615.5729943813</v>
      </c>
      <c r="J25" s="5" t="n">
        <f aca="false">J12*(J23+J24)</f>
        <v>43495.8584532799</v>
      </c>
      <c r="K25" s="5" t="n">
        <f aca="false">K12*(K23+K24)</f>
        <v>46573.5406294778</v>
      </c>
      <c r="L25" s="5" t="n">
        <f aca="false">L12*(L23+L24)</f>
        <v>49861.8876842317</v>
      </c>
      <c r="M25" s="5" t="n">
        <f aca="false">M12*(M23+M24)</f>
        <v>53375.0508464095</v>
      </c>
      <c r="N25" s="5" t="n">
        <f aca="false">N12*(N23+N24)</f>
        <v>56411.5064711972</v>
      </c>
      <c r="O25" s="5" t="n">
        <f aca="false">O12*(O23+O24)</f>
        <v>59622.3900709977</v>
      </c>
      <c r="P25" s="5" t="n">
        <f aca="false">P12*(P23+P24)</f>
        <v>63017.8358929901</v>
      </c>
      <c r="Q25" s="5" t="n">
        <f aca="false">Q12*(Q23+Q24)</f>
        <v>66608.574873276</v>
      </c>
      <c r="R25" s="5" t="n">
        <f aca="false">R12*(R23+R24)</f>
        <v>70405.9703247406</v>
      </c>
      <c r="S25" s="5" t="n">
        <f aca="false">S12*(S23+S24)</f>
        <v>74422.0557993986</v>
      </c>
      <c r="T25" s="5" t="n">
        <f aca="false">T12*(T23+T24)</f>
        <v>78669.5752606644</v>
      </c>
      <c r="U25" s="5" t="n">
        <f aca="false">U12*(U23+U24)</f>
        <v>83162.0257096439</v>
      </c>
      <c r="V25" s="5" t="n">
        <f aca="false">V12*(V23+V24)</f>
        <v>87913.7024187754</v>
      </c>
      <c r="W25" s="5" t="n">
        <f aca="false">W12*(W23+W24)</f>
        <v>92939.7469359855</v>
      </c>
      <c r="X25" s="5" t="n">
        <f aca="false">X12*(X23+X24)</f>
        <v>98256.1980330164</v>
      </c>
      <c r="Y25" s="5" t="n">
        <f aca="false">Y12*(Y23+Y24)</f>
        <v>103880.045782766</v>
      </c>
    </row>
    <row r="26" customFormat="false" ht="15" hidden="false" customHeight="false" outlineLevel="0" collapsed="false">
      <c r="A26" s="4" t="s">
        <v>148</v>
      </c>
      <c r="B26" s="5" t="n">
        <f aca="false">B14*Plan_Supuestos!$D$36</f>
        <v>587.664765849056</v>
      </c>
      <c r="C26" s="5" t="n">
        <f aca="false">C14*Plan_Supuestos!$D$36</f>
        <v>587.664765849056</v>
      </c>
      <c r="D26" s="5" t="n">
        <f aca="false">D14*Plan_Supuestos!$D$36</f>
        <v>587.664765849056</v>
      </c>
      <c r="E26" s="5" t="n">
        <f aca="false">E14*Plan_Supuestos!$D$36</f>
        <v>587.664765849056</v>
      </c>
      <c r="F26" s="5" t="n">
        <f aca="false">F14*Plan_Supuestos!$D$36</f>
        <v>587.664765849056</v>
      </c>
      <c r="G26" s="5" t="n">
        <f aca="false">G14*Plan_Supuestos!$D$36</f>
        <v>587.664765849056</v>
      </c>
      <c r="H26" s="5" t="n">
        <f aca="false">H14*Plan_Supuestos!$D$36</f>
        <v>587.664765849056</v>
      </c>
      <c r="I26" s="5" t="n">
        <f aca="false">I14*Plan_Supuestos!$D$36</f>
        <v>587.664765849056</v>
      </c>
      <c r="J26" s="5" t="n">
        <f aca="false">J14*Plan_Supuestos!$D$36</f>
        <v>587.664765849056</v>
      </c>
      <c r="K26" s="5" t="n">
        <f aca="false">K14*Plan_Supuestos!$D$36</f>
        <v>587.664765849056</v>
      </c>
      <c r="L26" s="5" t="n">
        <f aca="false">L14*Plan_Supuestos!$D$36</f>
        <v>587.664765849056</v>
      </c>
      <c r="M26" s="5" t="n">
        <f aca="false">M14*Plan_Supuestos!$D$36</f>
        <v>587.664765849056</v>
      </c>
      <c r="N26" s="5" t="n">
        <f aca="false">N14*Plan_Supuestos!$D$36</f>
        <v>1212.05857956368</v>
      </c>
      <c r="O26" s="5" t="n">
        <f aca="false">O14*Plan_Supuestos!$D$36</f>
        <v>1280.63677924735</v>
      </c>
      <c r="P26" s="5" t="n">
        <f aca="false">P14*Plan_Supuestos!$D$36</f>
        <v>1353.1292983088</v>
      </c>
      <c r="Q26" s="5" t="n">
        <f aca="false">Q14*Plan_Supuestos!$D$36</f>
        <v>1429.76184361861</v>
      </c>
      <c r="R26" s="5" t="n">
        <f aca="false">R14*Plan_Supuestos!$D$36</f>
        <v>1510.77329211386</v>
      </c>
      <c r="S26" s="5" t="n">
        <f aca="false">S14*Plan_Supuestos!$D$36</f>
        <v>1596.41647004274</v>
      </c>
      <c r="T26" s="5" t="n">
        <f aca="false">T14*Plan_Supuestos!$D$36</f>
        <v>1686.95897907648</v>
      </c>
      <c r="U26" s="5" t="n">
        <f aca="false">U14*Plan_Supuestos!$D$36</f>
        <v>1782.68407216241</v>
      </c>
      <c r="V26" s="5" t="n">
        <f aca="false">V14*Plan_Supuestos!$D$36</f>
        <v>1883.89158217221</v>
      </c>
      <c r="W26" s="5" t="n">
        <f aca="false">W14*Plan_Supuestos!$D$36</f>
        <v>1990.89890659125</v>
      </c>
      <c r="X26" s="5" t="n">
        <f aca="false">X14*Plan_Supuestos!$D$36</f>
        <v>2104.04205169932</v>
      </c>
      <c r="Y26" s="5" t="n">
        <f aca="false">Y14*Plan_Supuestos!$D$36</f>
        <v>2223.67673991037</v>
      </c>
    </row>
    <row r="27" customFormat="false" ht="15" hidden="false" customHeight="false" outlineLevel="0" collapsed="false">
      <c r="A27" s="4" t="s">
        <v>149</v>
      </c>
      <c r="B27" s="5" t="n">
        <f aca="false">-B7</f>
        <v>-9000</v>
      </c>
      <c r="C27" s="5" t="n">
        <f aca="false">-C7</f>
        <v>-9720</v>
      </c>
      <c r="D27" s="5" t="n">
        <f aca="false">-D7</f>
        <v>-10497.6</v>
      </c>
      <c r="E27" s="5" t="n">
        <f aca="false">-E7</f>
        <v>-11337.408</v>
      </c>
      <c r="F27" s="5" t="n">
        <f aca="false">-F7</f>
        <v>-12244.40064</v>
      </c>
      <c r="G27" s="5" t="n">
        <f aca="false">-G7</f>
        <v>-13223.9526912</v>
      </c>
      <c r="H27" s="5" t="n">
        <f aca="false">-H7</f>
        <v>-14281.868906496</v>
      </c>
      <c r="I27" s="5" t="n">
        <f aca="false">-I7</f>
        <v>-15424.4184190157</v>
      </c>
      <c r="J27" s="5" t="n">
        <f aca="false">-J7</f>
        <v>-16658.3718925369</v>
      </c>
      <c r="K27" s="5" t="n">
        <f aca="false">-K7</f>
        <v>-17991.0416439399</v>
      </c>
      <c r="L27" s="5" t="n">
        <f aca="false">-L7</f>
        <v>-19430.3249754551</v>
      </c>
      <c r="M27" s="5" t="n">
        <f aca="false">-M7</f>
        <v>-20984.7509734915</v>
      </c>
      <c r="N27" s="5" t="n">
        <f aca="false">-N7</f>
        <v>-22663.5310513708</v>
      </c>
      <c r="O27" s="5" t="n">
        <f aca="false">-O7</f>
        <v>-24476.6135354805</v>
      </c>
      <c r="P27" s="5" t="n">
        <f aca="false">-P7</f>
        <v>-26434.7426183189</v>
      </c>
      <c r="Q27" s="5" t="n">
        <f aca="false">-Q7</f>
        <v>-28549.5220277845</v>
      </c>
      <c r="R27" s="5" t="n">
        <f aca="false">-R7</f>
        <v>-30833.4837900072</v>
      </c>
      <c r="S27" s="5" t="n">
        <f aca="false">-S7</f>
        <v>-33300.1624932078</v>
      </c>
      <c r="T27" s="5" t="n">
        <f aca="false">-T7</f>
        <v>-35964.1754926644</v>
      </c>
      <c r="U27" s="5" t="n">
        <f aca="false">-U7</f>
        <v>-38841.3095320776</v>
      </c>
      <c r="V27" s="5" t="n">
        <f aca="false">-V7</f>
        <v>-41948.6142946438</v>
      </c>
      <c r="W27" s="5" t="n">
        <f aca="false">-W7</f>
        <v>-45304.5034382153</v>
      </c>
      <c r="X27" s="5" t="n">
        <f aca="false">-X7</f>
        <v>-48928.8637132725</v>
      </c>
      <c r="Y27" s="5" t="n">
        <f aca="false">-Y7</f>
        <v>-52843.1728103343</v>
      </c>
    </row>
    <row r="28" customFormat="false" ht="15" hidden="false" customHeight="false" outlineLevel="0" collapsed="false">
      <c r="A28" s="4" t="s">
        <v>150</v>
      </c>
      <c r="B28" s="5" t="n">
        <f aca="false">B25+B26+B27</f>
        <v>16615.3933769476</v>
      </c>
      <c r="C28" s="5" t="n">
        <f aca="false">C25+C26+C27</f>
        <v>17701.9523700183</v>
      </c>
      <c r="D28" s="5" t="n">
        <f aca="false">D25+D26+D27</f>
        <v>18855.9467458964</v>
      </c>
      <c r="E28" s="5" t="n">
        <f aca="false">E25+E26+E27</f>
        <v>20081.2162421994</v>
      </c>
      <c r="F28" s="5" t="n">
        <f aca="false">F25+F26+F27</f>
        <v>21381.7952578351</v>
      </c>
      <c r="G28" s="5" t="n">
        <f aca="false">G25+G26+G27</f>
        <v>22761.9207194923</v>
      </c>
      <c r="H28" s="5" t="n">
        <f aca="false">H25+H26+H27</f>
        <v>24226.040067985</v>
      </c>
      <c r="I28" s="5" t="n">
        <f aca="false">I25+I26+I27</f>
        <v>25778.8193412147</v>
      </c>
      <c r="J28" s="5" t="n">
        <f aca="false">J25+J26+J27</f>
        <v>27425.151326592</v>
      </c>
      <c r="K28" s="5" t="n">
        <f aca="false">K25+K26+K27</f>
        <v>29170.1637513869</v>
      </c>
      <c r="L28" s="5" t="n">
        <f aca="false">L25+L26+L27</f>
        <v>31019.2274746256</v>
      </c>
      <c r="M28" s="5" t="n">
        <f aca="false">M25+M26+M27</f>
        <v>32977.9646387671</v>
      </c>
      <c r="N28" s="5" t="n">
        <f aca="false">N25+N26+N27</f>
        <v>34960.0339993901</v>
      </c>
      <c r="O28" s="5" t="n">
        <f aca="false">O25+O26+O27</f>
        <v>36426.4133147645</v>
      </c>
      <c r="P28" s="5" t="n">
        <f aca="false">P25+P26+P27</f>
        <v>37936.2225729799</v>
      </c>
      <c r="Q28" s="5" t="n">
        <f aca="false">Q25+Q26+Q27</f>
        <v>39488.8146891101</v>
      </c>
      <c r="R28" s="5" t="n">
        <f aca="false">R25+R26+R27</f>
        <v>41083.2598268472</v>
      </c>
      <c r="S28" s="5" t="n">
        <f aca="false">S25+S26+S27</f>
        <v>42718.3097762336</v>
      </c>
      <c r="T28" s="5" t="n">
        <f aca="false">T25+T26+T27</f>
        <v>44392.3587470765</v>
      </c>
      <c r="U28" s="5" t="n">
        <f aca="false">U25+U26+U27</f>
        <v>46103.4002497287</v>
      </c>
      <c r="V28" s="5" t="n">
        <f aca="false">V25+V26+V27</f>
        <v>47848.9797063038</v>
      </c>
      <c r="W28" s="5" t="n">
        <f aca="false">W25+W26+W27</f>
        <v>49626.1424043615</v>
      </c>
      <c r="X28" s="5" t="n">
        <f aca="false">X25+X26+X27</f>
        <v>51431.3763714432</v>
      </c>
      <c r="Y28" s="5" t="n">
        <f aca="false">Y25+Y26+Y27</f>
        <v>53260.5497123424</v>
      </c>
    </row>
    <row r="29" customFormat="false" ht="15" hidden="false" customHeight="false" outlineLevel="0" collapsed="false">
      <c r="A29" s="4" t="s">
        <v>151</v>
      </c>
      <c r="B29" s="5" t="n">
        <f aca="false">-(Plan_Supuestos!$B$9+Plan_Supuestos!$B$10*B15)</f>
        <v>-16028.4</v>
      </c>
      <c r="C29" s="5" t="n">
        <f aca="false">-(Plan_Supuestos!$B$9+Plan_Supuestos!$B$10*C15)</f>
        <v>-16084.4141389464</v>
      </c>
      <c r="D29" s="5" t="n">
        <f aca="false">-(Plan_Supuestos!$B$9+Plan_Supuestos!$B$10*D15)</f>
        <v>-16143.6254634491</v>
      </c>
      <c r="E29" s="5" t="n">
        <f aca="false">-(Plan_Supuestos!$B$9+Plan_Supuestos!$B$10*E15)</f>
        <v>-16206.2183291207</v>
      </c>
      <c r="F29" s="5" t="n">
        <f aca="false">-(Plan_Supuestos!$B$9+Plan_Supuestos!$B$10*F15)</f>
        <v>-16272.3878487813</v>
      </c>
      <c r="G29" s="5" t="n">
        <f aca="false">-(Plan_Supuestos!$B$9+Plan_Supuestos!$B$10*G15)</f>
        <v>-16342.3405289398</v>
      </c>
      <c r="H29" s="5" t="n">
        <f aca="false">-(Plan_Supuestos!$B$9+Plan_Supuestos!$B$10*H15)</f>
        <v>-16416.2949445553</v>
      </c>
      <c r="I29" s="5" t="n">
        <f aca="false">-(Plan_Supuestos!$B$9+Plan_Supuestos!$B$10*I15)</f>
        <v>-16494.4824544273</v>
      </c>
      <c r="J29" s="5" t="n">
        <f aca="false">-(Plan_Supuestos!$B$9+Plan_Supuestos!$B$10*J15)</f>
        <v>-16577.1479597082</v>
      </c>
      <c r="K29" s="5" t="n">
        <f aca="false">-(Plan_Supuestos!$B$9+Plan_Supuestos!$B$10*K15)</f>
        <v>-16664.5507081901</v>
      </c>
      <c r="L29" s="5" t="n">
        <f aca="false">-(Plan_Supuestos!$B$9+Plan_Supuestos!$B$10*L15)</f>
        <v>-16756.965147183</v>
      </c>
      <c r="M29" s="5" t="n">
        <f aca="false">-(Plan_Supuestos!$B$9+Plan_Supuestos!$B$10*M15)</f>
        <v>-16854.6818279821</v>
      </c>
      <c r="N29" s="5" t="n">
        <f aca="false">-(Plan_Supuestos!$B$9+Plan_Supuestos!$B$10*N15)</f>
        <v>-16998.8083651061</v>
      </c>
      <c r="O29" s="5" t="n">
        <f aca="false">-(Plan_Supuestos!$B$9+Plan_Supuestos!$B$10*O15)</f>
        <v>-17112.5515848119</v>
      </c>
      <c r="P29" s="5" t="n">
        <f aca="false">-(Plan_Supuestos!$B$9+Plan_Supuestos!$B$10*P15)</f>
        <v>-17232.8309857503</v>
      </c>
      <c r="Q29" s="5" t="n">
        <f aca="false">-(Plan_Supuestos!$B$9+Plan_Supuestos!$B$10*Q15)</f>
        <v>-17360.0264758208</v>
      </c>
      <c r="R29" s="5" t="n">
        <f aca="false">-(Plan_Supuestos!$B$9+Plan_Supuestos!$B$10*R15)</f>
        <v>-17494.5403424385</v>
      </c>
      <c r="S29" s="5" t="n">
        <f aca="false">-(Plan_Supuestos!$B$9+Plan_Supuestos!$B$10*S15)</f>
        <v>-17636.7985918577</v>
      </c>
      <c r="T29" s="5" t="n">
        <f aca="false">-(Plan_Supuestos!$B$9+Plan_Supuestos!$B$10*T15)</f>
        <v>-17787.2523701615</v>
      </c>
      <c r="U29" s="5" t="n">
        <f aca="false">-(Plan_Supuestos!$B$9+Plan_Supuestos!$B$10*U15)</f>
        <v>-17946.3794710092</v>
      </c>
      <c r="V29" s="5" t="n">
        <f aca="false">-(Plan_Supuestos!$B$9+Plan_Supuestos!$B$10*V15)</f>
        <v>-18114.6859355576</v>
      </c>
      <c r="W29" s="5" t="n">
        <f aca="false">-(Plan_Supuestos!$B$9+Plan_Supuestos!$B$10*W15)</f>
        <v>-18292.7077503213</v>
      </c>
      <c r="X29" s="5" t="n">
        <f aca="false">-(Plan_Supuestos!$B$9+Plan_Supuestos!$B$10*X15)</f>
        <v>-18481.0126491069</v>
      </c>
      <c r="Y29" s="5" t="n">
        <f aca="false">-(Plan_Supuestos!$B$9+Plan_Supuestos!$B$10*Y15)</f>
        <v>-18680.2020255498</v>
      </c>
    </row>
    <row r="30" customFormat="false" ht="15" hidden="false" customHeight="false" outlineLevel="0" collapsed="false">
      <c r="A30" s="4" t="s">
        <v>152</v>
      </c>
      <c r="B30" s="5" t="n">
        <f aca="false">B28+B29</f>
        <v>586.993376947577</v>
      </c>
      <c r="C30" s="5" t="n">
        <f aca="false">C28+C29</f>
        <v>1617.53823107189</v>
      </c>
      <c r="D30" s="5" t="n">
        <f aca="false">D28+D29</f>
        <v>2712.32128244733</v>
      </c>
      <c r="E30" s="5" t="n">
        <f aca="false">E28+E29</f>
        <v>3874.99791307877</v>
      </c>
      <c r="F30" s="5" t="n">
        <f aca="false">F28+F29</f>
        <v>5109.40740905377</v>
      </c>
      <c r="G30" s="5" t="n">
        <f aca="false">G28+G29</f>
        <v>6419.58019055251</v>
      </c>
      <c r="H30" s="5" t="n">
        <f aca="false">H28+H29</f>
        <v>7809.74512342964</v>
      </c>
      <c r="I30" s="5" t="n">
        <f aca="false">I28+I29</f>
        <v>9284.33688678734</v>
      </c>
      <c r="J30" s="5" t="n">
        <f aca="false">J28+J29</f>
        <v>10848.0033668838</v>
      </c>
      <c r="K30" s="5" t="n">
        <f aca="false">K28+K29</f>
        <v>12505.6130431969</v>
      </c>
      <c r="L30" s="5" t="n">
        <f aca="false">L28+L29</f>
        <v>14262.2623274426</v>
      </c>
      <c r="M30" s="5" t="n">
        <f aca="false">M28+M29</f>
        <v>16123.282810785</v>
      </c>
      <c r="N30" s="5" t="n">
        <f aca="false">N28+N29</f>
        <v>17961.225634284</v>
      </c>
      <c r="O30" s="5" t="n">
        <f aca="false">O28+O29</f>
        <v>19313.8617299526</v>
      </c>
      <c r="P30" s="5" t="n">
        <f aca="false">P28+P29</f>
        <v>20703.3915872296</v>
      </c>
      <c r="Q30" s="5" t="n">
        <f aca="false">Q28+Q29</f>
        <v>22128.7882132893</v>
      </c>
      <c r="R30" s="5" t="n">
        <f aca="false">R28+R29</f>
        <v>23588.7194844087</v>
      </c>
      <c r="S30" s="5" t="n">
        <f aca="false">S28+S29</f>
        <v>25081.5111843759</v>
      </c>
      <c r="T30" s="5" t="n">
        <f aca="false">T28+T29</f>
        <v>26605.106376915</v>
      </c>
      <c r="U30" s="5" t="n">
        <f aca="false">U28+U29</f>
        <v>28157.0207787195</v>
      </c>
      <c r="V30" s="5" t="n">
        <f aca="false">V28+V29</f>
        <v>29734.2937707462</v>
      </c>
      <c r="W30" s="5" t="n">
        <f aca="false">W28+W29</f>
        <v>31333.4346540401</v>
      </c>
      <c r="X30" s="5" t="n">
        <f aca="false">X28+X29</f>
        <v>32950.3637223363</v>
      </c>
      <c r="Y30" s="5" t="n">
        <f aca="false">Y28+Y29</f>
        <v>34580.3476867926</v>
      </c>
    </row>
    <row r="31" customFormat="false" ht="15" hidden="false" customHeight="false" outlineLevel="0" collapsed="false">
      <c r="A31" s="4" t="s">
        <v>153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154</v>
      </c>
      <c r="B32" s="9" t="n">
        <f aca="false">B30+B31</f>
        <v>586.993376947577</v>
      </c>
      <c r="C32" s="9" t="n">
        <f aca="false">C30+C31</f>
        <v>1617.53823107189</v>
      </c>
      <c r="D32" s="9" t="n">
        <f aca="false">D30+D31</f>
        <v>2712.32128244733</v>
      </c>
      <c r="E32" s="9" t="n">
        <f aca="false">E30+E31</f>
        <v>3874.99791307877</v>
      </c>
      <c r="F32" s="9" t="n">
        <f aca="false">F30+F31</f>
        <v>5109.40740905377</v>
      </c>
      <c r="G32" s="9" t="n">
        <f aca="false">G30+G31</f>
        <v>6419.58019055251</v>
      </c>
      <c r="H32" s="9" t="n">
        <f aca="false">H30+H31</f>
        <v>7809.74512342964</v>
      </c>
      <c r="I32" s="9" t="n">
        <f aca="false">I30+I31</f>
        <v>9284.33688678734</v>
      </c>
      <c r="J32" s="9" t="n">
        <f aca="false">J30+J31</f>
        <v>10848.0033668838</v>
      </c>
      <c r="K32" s="9" t="n">
        <f aca="false">K30+K31</f>
        <v>12505.6130431969</v>
      </c>
      <c r="L32" s="9" t="n">
        <f aca="false">L30+L31</f>
        <v>14262.2623274426</v>
      </c>
      <c r="M32" s="9" t="n">
        <f aca="false">M30+M31</f>
        <v>16123.282810785</v>
      </c>
      <c r="N32" s="9" t="n">
        <f aca="false">N30+N31</f>
        <v>17961.225634284</v>
      </c>
      <c r="O32" s="9" t="n">
        <f aca="false">O30+O31</f>
        <v>19313.8617299526</v>
      </c>
      <c r="P32" s="9" t="n">
        <f aca="false">P30+P31</f>
        <v>20703.3915872296</v>
      </c>
      <c r="Q32" s="9" t="n">
        <f aca="false">Q30+Q31</f>
        <v>22128.7882132893</v>
      </c>
      <c r="R32" s="9" t="n">
        <f aca="false">R30+R31</f>
        <v>23588.7194844087</v>
      </c>
      <c r="S32" s="9" t="n">
        <f aca="false">S30+S31</f>
        <v>25081.5111843759</v>
      </c>
      <c r="T32" s="9" t="n">
        <f aca="false">T30+T31</f>
        <v>26605.106376915</v>
      </c>
      <c r="U32" s="9" t="n">
        <f aca="false">U30+U31</f>
        <v>28157.0207787195</v>
      </c>
      <c r="V32" s="9" t="n">
        <f aca="false">V30+V31</f>
        <v>29734.2937707462</v>
      </c>
      <c r="W32" s="9" t="n">
        <f aca="false">W30+W31</f>
        <v>31333.4346540401</v>
      </c>
      <c r="X32" s="9" t="n">
        <f aca="false">X30+X31</f>
        <v>32950.3637223363</v>
      </c>
      <c r="Y32" s="9" t="n">
        <f aca="false">Y30+Y31</f>
        <v>34580.3476867926</v>
      </c>
    </row>
    <row r="33" customFormat="false" ht="15" hidden="false" customHeight="false" outlineLevel="0" collapsed="false">
      <c r="A33" s="4" t="s">
        <v>155</v>
      </c>
      <c r="B33" s="5" t="n">
        <f aca="false">B32</f>
        <v>586.993376947577</v>
      </c>
      <c r="C33" s="5" t="n">
        <f aca="false">B33+C32</f>
        <v>2204.53160801947</v>
      </c>
      <c r="D33" s="5" t="n">
        <f aca="false">C33+D32</f>
        <v>4916.8528904668</v>
      </c>
      <c r="E33" s="5" t="n">
        <f aca="false">D33+E32</f>
        <v>8791.85080354557</v>
      </c>
      <c r="F33" s="5" t="n">
        <f aca="false">E33+F32</f>
        <v>13901.2582125993</v>
      </c>
      <c r="G33" s="5" t="n">
        <f aca="false">F33+G32</f>
        <v>20320.8384031518</v>
      </c>
      <c r="H33" s="5" t="n">
        <f aca="false">G33+H32</f>
        <v>28130.5835265815</v>
      </c>
      <c r="I33" s="5" t="n">
        <f aca="false">H33+I32</f>
        <v>37414.9204133688</v>
      </c>
      <c r="J33" s="5" t="n">
        <f aca="false">I33+J32</f>
        <v>48262.9237802526</v>
      </c>
      <c r="K33" s="5" t="n">
        <f aca="false">J33+K32</f>
        <v>60768.5368234494</v>
      </c>
      <c r="L33" s="5" t="n">
        <f aca="false">K33+L32</f>
        <v>75030.799150892</v>
      </c>
      <c r="M33" s="5" t="n">
        <f aca="false">L33+M32</f>
        <v>91154.081961677</v>
      </c>
      <c r="N33" s="5" t="n">
        <f aca="false">M33+N32</f>
        <v>109115.307595961</v>
      </c>
      <c r="O33" s="5" t="n">
        <f aca="false">N33+O32</f>
        <v>128429.169325914</v>
      </c>
      <c r="P33" s="5" t="n">
        <f aca="false">O33+P32</f>
        <v>149132.560913143</v>
      </c>
      <c r="Q33" s="5" t="n">
        <f aca="false">P33+Q32</f>
        <v>171261.349126433</v>
      </c>
      <c r="R33" s="5" t="n">
        <f aca="false">Q33+R32</f>
        <v>194850.068610841</v>
      </c>
      <c r="S33" s="5" t="n">
        <f aca="false">R33+S32</f>
        <v>219931.579795217</v>
      </c>
      <c r="T33" s="5" t="n">
        <f aca="false">S33+T32</f>
        <v>246536.686172132</v>
      </c>
      <c r="U33" s="5" t="n">
        <f aca="false">T33+U32</f>
        <v>274693.706950852</v>
      </c>
      <c r="V33" s="5" t="n">
        <f aca="false">U33+V32</f>
        <v>304428.000721598</v>
      </c>
      <c r="W33" s="5" t="n">
        <f aca="false">V33+W32</f>
        <v>335761.435375638</v>
      </c>
      <c r="X33" s="5" t="n">
        <f aca="false">W33+X32</f>
        <v>368711.799097974</v>
      </c>
      <c r="Y33" s="5" t="n">
        <f aca="false">X33+Y32</f>
        <v>403292.146784767</v>
      </c>
    </row>
    <row r="34" customFormat="false" ht="15" hidden="false" customHeight="false" outlineLevel="0" collapsed="false">
      <c r="A34" s="4" t="s">
        <v>156</v>
      </c>
      <c r="M34" s="5" t="n">
        <f aca="false">SUM(B32:M32)</f>
        <v>91154.081961677</v>
      </c>
      <c r="N34" s="5" t="n">
        <f aca="false">SUM(C32:N32)</f>
        <v>108528.314219013</v>
      </c>
      <c r="O34" s="5" t="n">
        <f aca="false">SUM(D32:O32)</f>
        <v>126224.637717894</v>
      </c>
      <c r="P34" s="5" t="n">
        <f aca="false">SUM(E32:P32)</f>
        <v>144215.708022677</v>
      </c>
      <c r="Q34" s="5" t="n">
        <f aca="false">SUM(F32:Q32)</f>
        <v>162469.498322887</v>
      </c>
      <c r="R34" s="5" t="n">
        <f aca="false">SUM(G32:R32)</f>
        <v>180948.810398242</v>
      </c>
      <c r="S34" s="5" t="n">
        <f aca="false">SUM(H32:S32)</f>
        <v>199610.741392065</v>
      </c>
      <c r="T34" s="5" t="n">
        <f aca="false">SUM(I32:T32)</f>
        <v>218406.102645551</v>
      </c>
      <c r="U34" s="5" t="n">
        <f aca="false">SUM(J32:U32)</f>
        <v>237278.786537483</v>
      </c>
      <c r="V34" s="5" t="n">
        <f aca="false">SUM(K32:V32)</f>
        <v>256165.076941345</v>
      </c>
      <c r="W34" s="5" t="n">
        <f aca="false">SUM(L32:W32)</f>
        <v>274992.898552189</v>
      </c>
      <c r="X34" s="5" t="n">
        <f aca="false">SUM(M32:X32)</f>
        <v>293680.999947082</v>
      </c>
      <c r="Y34" s="5" t="n">
        <f aca="false">SUM(N32:Y32)</f>
        <v>312138.06482309</v>
      </c>
    </row>
    <row r="35" customFormat="false" ht="15" hidden="false" customHeight="false" outlineLevel="0" collapsed="false">
      <c r="A35" s="4" t="s">
        <v>157</v>
      </c>
      <c r="B35" s="5" t="n">
        <f aca="false">B32*12</f>
        <v>7043.92052337093</v>
      </c>
      <c r="C35" s="5" t="n">
        <f aca="false">C32*12</f>
        <v>19410.4587728627</v>
      </c>
      <c r="D35" s="5" t="n">
        <f aca="false">D32*12</f>
        <v>32547.855389368</v>
      </c>
      <c r="E35" s="5" t="n">
        <f aca="false">E32*12</f>
        <v>46499.9749569453</v>
      </c>
      <c r="F35" s="5" t="n">
        <f aca="false">F32*12</f>
        <v>61312.8889086452</v>
      </c>
      <c r="G35" s="5" t="n">
        <f aca="false">G32*12</f>
        <v>77034.9622866301</v>
      </c>
      <c r="H35" s="5" t="n">
        <f aca="false">H32*12</f>
        <v>93716.9414811557</v>
      </c>
      <c r="I35" s="5" t="n">
        <f aca="false">I32*12</f>
        <v>111412.042641448</v>
      </c>
      <c r="J35" s="5" t="n">
        <f aca="false">J32*12</f>
        <v>130176.040402605</v>
      </c>
      <c r="K35" s="5" t="n">
        <f aca="false">K32*12</f>
        <v>150067.356518362</v>
      </c>
      <c r="L35" s="5" t="n">
        <f aca="false">L32*12</f>
        <v>171147.147929311</v>
      </c>
      <c r="M35" s="5" t="n">
        <f aca="false">M32*12</f>
        <v>193479.39372942</v>
      </c>
      <c r="N35" s="5" t="n">
        <f aca="false">N32*12</f>
        <v>215534.707611408</v>
      </c>
      <c r="O35" s="5" t="n">
        <f aca="false">O32*12</f>
        <v>231766.340759432</v>
      </c>
      <c r="P35" s="5" t="n">
        <f aca="false">P32*12</f>
        <v>248440.699046756</v>
      </c>
      <c r="Q35" s="5" t="n">
        <f aca="false">Q32*12</f>
        <v>265545.458559472</v>
      </c>
      <c r="R35" s="5" t="n">
        <f aca="false">R32*12</f>
        <v>283064.633812905</v>
      </c>
      <c r="S35" s="5" t="n">
        <f aca="false">S32*12</f>
        <v>300978.134212511</v>
      </c>
      <c r="T35" s="5" t="n">
        <f aca="false">T32*12</f>
        <v>319261.27652298</v>
      </c>
      <c r="U35" s="5" t="n">
        <f aca="false">U32*12</f>
        <v>337884.249344634</v>
      </c>
      <c r="V35" s="5" t="n">
        <f aca="false">V32*12</f>
        <v>356811.525248954</v>
      </c>
      <c r="W35" s="5" t="n">
        <f aca="false">W32*12</f>
        <v>376001.215848482</v>
      </c>
      <c r="X35" s="5" t="n">
        <f aca="false">X32*12</f>
        <v>395404.364668036</v>
      </c>
      <c r="Y35" s="5" t="n">
        <f aca="false">Y32*12</f>
        <v>414964.172241511</v>
      </c>
    </row>
    <row r="36" customFormat="false" ht="15" hidden="false" customHeight="false" outlineLevel="0" collapsed="false">
      <c r="A36" s="8" t="s">
        <v>158</v>
      </c>
      <c r="B36" s="18" t="n">
        <f aca="false">B35/Plan_Supuestos!$B$13</f>
        <v>2012.54872096312</v>
      </c>
      <c r="C36" s="18" t="n">
        <f aca="false">C35/Plan_Supuestos!$B$13</f>
        <v>5545.84536367505</v>
      </c>
      <c r="D36" s="18" t="n">
        <f aca="false">D35/Plan_Supuestos!$B$13</f>
        <v>9299.38725410514</v>
      </c>
      <c r="E36" s="18" t="n">
        <f aca="false">E35/Plan_Supuestos!$B$13</f>
        <v>13285.7071305558</v>
      </c>
      <c r="F36" s="18" t="n">
        <f aca="false">F35/Plan_Supuestos!$B$13</f>
        <v>17517.9682596129</v>
      </c>
      <c r="G36" s="18" t="n">
        <f aca="false">G35/Plan_Supuestos!$B$13</f>
        <v>22009.9892247515</v>
      </c>
      <c r="H36" s="18" t="n">
        <f aca="false">H35/Plan_Supuestos!$B$13</f>
        <v>26776.2689946159</v>
      </c>
      <c r="I36" s="18" t="n">
        <f aca="false">I35/Plan_Supuestos!$B$13</f>
        <v>31832.0121832709</v>
      </c>
      <c r="J36" s="18" t="n">
        <f aca="false">J35/Plan_Supuestos!$B$13</f>
        <v>37193.1544007443</v>
      </c>
      <c r="K36" s="18" t="n">
        <f aca="false">K35/Plan_Supuestos!$B$13</f>
        <v>42876.387576675</v>
      </c>
      <c r="L36" s="18" t="n">
        <f aca="false">L35/Plan_Supuestos!$B$13</f>
        <v>48899.1851226602</v>
      </c>
      <c r="M36" s="18" t="n">
        <f aca="false">M35/Plan_Supuestos!$B$13</f>
        <v>55279.8267798343</v>
      </c>
      <c r="N36" s="18" t="n">
        <f aca="false">N35/Plan_Supuestos!$B$13</f>
        <v>61581.345031831</v>
      </c>
      <c r="O36" s="18" t="n">
        <f aca="false">O35/Plan_Supuestos!$B$13</f>
        <v>66218.9545026948</v>
      </c>
      <c r="P36" s="18" t="n">
        <f aca="false">P35/Plan_Supuestos!$B$13</f>
        <v>70983.0568705016</v>
      </c>
      <c r="Q36" s="18" t="n">
        <f aca="false">Q35/Plan_Supuestos!$B$13</f>
        <v>75870.1310169919</v>
      </c>
      <c r="R36" s="18" t="n">
        <f aca="false">R35/Plan_Supuestos!$B$13</f>
        <v>80875.6096608299</v>
      </c>
      <c r="S36" s="18" t="n">
        <f aca="false">S35/Plan_Supuestos!$B$13</f>
        <v>85993.752632146</v>
      </c>
      <c r="T36" s="18" t="n">
        <f aca="false">T35/Plan_Supuestos!$B$13</f>
        <v>91217.5075779944</v>
      </c>
      <c r="U36" s="18" t="n">
        <f aca="false">U35/Plan_Supuestos!$B$13</f>
        <v>96538.3569556097</v>
      </c>
      <c r="V36" s="18" t="n">
        <f aca="false">V35/Plan_Supuestos!$B$13</f>
        <v>101946.15007113</v>
      </c>
      <c r="W36" s="18" t="n">
        <f aca="false">W35/Plan_Supuestos!$B$13</f>
        <v>107428.918813852</v>
      </c>
      <c r="X36" s="18" t="n">
        <f aca="false">X35/Plan_Supuestos!$B$13</f>
        <v>112972.675619439</v>
      </c>
      <c r="Y36" s="18" t="n">
        <f aca="false">Y35/Plan_Supuestos!$B$13</f>
        <v>118561.192069003</v>
      </c>
    </row>
    <row r="37" customFormat="false" ht="15" hidden="false" customHeight="false" outlineLevel="0" collapsed="false">
      <c r="A37" s="4" t="s">
        <v>159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160</v>
      </c>
      <c r="B38" s="5" t="n">
        <f aca="false">B12*(Plan_Supuestos!$B$8*Supuestos!$B$7+(1-Plan_Supuestos!$B$8)*Supuestos!$B$8)*SUMPRODUCT(B17:B22,Plan_Supuestos!$F$30:$F$35)+B14*Plan_Supuestos!$F$36</f>
        <v>2782.72342039157</v>
      </c>
      <c r="C38" s="5" t="n">
        <f aca="false">C12*(Plan_Supuestos!$B$8*Supuestos!$B$7+(1-Plan_Supuestos!$B$8)*Supuestos!$B$8)*SUMPRODUCT(C17:C22,Plan_Supuestos!$F$30:$F$35)+C14*Plan_Supuestos!$F$36</f>
        <v>3194.00401858448</v>
      </c>
      <c r="D38" s="5" t="n">
        <f aca="false">D12*(Plan_Supuestos!$B$8*Supuestos!$B$7+(1-Plan_Supuestos!$B$8)*Supuestos!$B$8)*SUMPRODUCT(D17:D22,Plan_Supuestos!$F$30:$F$35)+D14*Plan_Supuestos!$F$36</f>
        <v>3642.97040306421</v>
      </c>
      <c r="E38" s="5" t="n">
        <f aca="false">E12*(Plan_Supuestos!$B$8*Supuestos!$B$7+(1-Plan_Supuestos!$B$8)*Supuestos!$B$8)*SUMPRODUCT(E17:E22,Plan_Supuestos!$F$30:$F$35)+E14*Plan_Supuestos!$F$36</f>
        <v>4132.59816416844</v>
      </c>
      <c r="F38" s="5" t="n">
        <f aca="false">F12*(Plan_Supuestos!$B$8*Supuestos!$B$7+(1-Plan_Supuestos!$B$8)*Supuestos!$B$8)*SUMPRODUCT(F17:F22,Plan_Supuestos!$F$30:$F$35)+F14*Plan_Supuestos!$F$36</f>
        <v>4666.08214089606</v>
      </c>
      <c r="G38" s="5" t="n">
        <f aca="false">G12*(Plan_Supuestos!$B$8*Supuestos!$B$7+(1-Plan_Supuestos!$B$8)*Supuestos!$B$8)*SUMPRODUCT(G17:G22,Plan_Supuestos!$F$30:$F$35)+G14*Plan_Supuestos!$F$36</f>
        <v>5246.85200491633</v>
      </c>
      <c r="H38" s="5" t="n">
        <f aca="false">H12*(Plan_Supuestos!$B$8*Supuestos!$B$7+(1-Plan_Supuestos!$B$8)*Supuestos!$B$8)*SUMPRODUCT(H17:H22,Plan_Supuestos!$F$30:$F$35)+H14*Plan_Supuestos!$F$36</f>
        <v>5878.58893245994</v>
      </c>
      <c r="I38" s="5" t="n">
        <f aca="false">I12*(Plan_Supuestos!$B$8*Supuestos!$B$7+(1-Plan_Supuestos!$B$8)*Supuestos!$B$8)*SUMPRODUCT(I17:I22,Plan_Supuestos!$F$30:$F$35)+I14*Plan_Supuestos!$F$36</f>
        <v>6565.2434395469</v>
      </c>
      <c r="J38" s="5" t="n">
        <f aca="false">J12*(Plan_Supuestos!$B$8*Supuestos!$B$7+(1-Plan_Supuestos!$B$8)*Supuestos!$B$8)*SUMPRODUCT(J17:J22,Plan_Supuestos!$F$30:$F$35)+J14*Plan_Supuestos!$F$36</f>
        <v>7311.05446125114</v>
      </c>
      <c r="K38" s="5" t="n">
        <f aca="false">K12*(Plan_Supuestos!$B$8*Supuestos!$B$7+(1-Plan_Supuestos!$B$8)*Supuestos!$B$8)*SUMPRODUCT(K17:K22,Plan_Supuestos!$F$30:$F$35)+K14*Plan_Supuestos!$F$36</f>
        <v>8120.5697613157</v>
      </c>
      <c r="L38" s="5" t="n">
        <f aca="false">L12*(Plan_Supuestos!$B$8*Supuestos!$B$7+(1-Plan_Supuestos!$B$8)*Supuestos!$B$8)*SUMPRODUCT(L17:L22,Plan_Supuestos!$F$30:$F$35)+L14*Plan_Supuestos!$F$36</f>
        <v>8998.66776444013</v>
      </c>
      <c r="M38" s="5" t="n">
        <f aca="false">M12*(Plan_Supuestos!$B$8*Supuestos!$B$7+(1-Plan_Supuestos!$B$8)*Supuestos!$B$8)*SUMPRODUCT(M17:M22,Plan_Supuestos!$F$30:$F$35)+M14*Plan_Supuestos!$F$36</f>
        <v>9950.58090999239</v>
      </c>
      <c r="N38" s="5" t="n">
        <f aca="false">N12*(Plan_Supuestos!$B$8*Supuestos!$B$7+(1-Plan_Supuestos!$B$8)*Supuestos!$B$8)*SUMPRODUCT(N17:N22,Plan_Supuestos!$F$30:$F$35)+N14*Plan_Supuestos!$F$36</f>
        <v>10504.5128711625</v>
      </c>
      <c r="O38" s="5" t="n">
        <f aca="false">O12*(Plan_Supuestos!$B$8*Supuestos!$B$7+(1-Plan_Supuestos!$B$8)*Supuestos!$B$8)*SUMPRODUCT(O17:O22,Plan_Supuestos!$F$30:$F$35)+O14*Plan_Supuestos!$F$36</f>
        <v>11102.4271382989</v>
      </c>
      <c r="P38" s="5" t="n">
        <f aca="false">P12*(Plan_Supuestos!$B$8*Supuestos!$B$7+(1-Plan_Supuestos!$B$8)*Supuestos!$B$8)*SUMPRODUCT(P17:P22,Plan_Supuestos!$F$30:$F$35)+P14*Plan_Supuestos!$F$36</f>
        <v>11734.7102020361</v>
      </c>
      <c r="Q38" s="5" t="n">
        <f aca="false">Q12*(Plan_Supuestos!$B$8*Supuestos!$B$7+(1-Plan_Supuestos!$B$8)*Supuestos!$B$8)*SUMPRODUCT(Q17:Q22,Plan_Supuestos!$F$30:$F$35)+Q14*Plan_Supuestos!$F$36</f>
        <v>12403.3603938609</v>
      </c>
      <c r="R38" s="5" t="n">
        <f aca="false">R12*(Plan_Supuestos!$B$8*Supuestos!$B$7+(1-Plan_Supuestos!$B$8)*Supuestos!$B$8)*SUMPRODUCT(R17:R22,Plan_Supuestos!$F$30:$F$35)+R14*Plan_Supuestos!$F$36</f>
        <v>13110.4938101316</v>
      </c>
      <c r="S38" s="5" t="n">
        <f aca="false">S12*(Plan_Supuestos!$B$8*Supuestos!$B$7+(1-Plan_Supuestos!$B$8)*Supuestos!$B$8)*SUMPRODUCT(S17:S22,Plan_Supuestos!$F$30:$F$35)+S14*Plan_Supuestos!$F$36</f>
        <v>13858.3513632145</v>
      </c>
      <c r="T38" s="5" t="n">
        <f aca="false">T12*(Plan_Supuestos!$B$8*Supuestos!$B$7+(1-Plan_Supuestos!$B$8)*Supuestos!$B$8)*SUMPRODUCT(T17:T22,Plan_Supuestos!$F$30:$F$35)+T14*Plan_Supuestos!$F$36</f>
        <v>14649.306262813</v>
      </c>
      <c r="U38" s="5" t="n">
        <f aca="false">U12*(Plan_Supuestos!$B$8*Supuestos!$B$7+(1-Plan_Supuestos!$B$8)*Supuestos!$B$8)*SUMPRODUCT(U17:U22,Plan_Supuestos!$F$30:$F$35)+U14*Plan_Supuestos!$F$36</f>
        <v>15485.8719543282</v>
      </c>
      <c r="V38" s="5" t="n">
        <f aca="false">V12*(Plan_Supuestos!$B$8*Supuestos!$B$7+(1-Plan_Supuestos!$B$8)*Supuestos!$B$8)*SUMPRODUCT(V17:V22,Plan_Supuestos!$F$30:$F$35)+V14*Plan_Supuestos!$F$36</f>
        <v>16370.7105428041</v>
      </c>
      <c r="W38" s="5" t="n">
        <f aca="false">W12*(Plan_Supuestos!$B$8*Supuestos!$B$7+(1-Plan_Supuestos!$B$8)*Supuestos!$B$8)*SUMPRODUCT(W17:W22,Plan_Supuestos!$F$30:$F$35)+W14*Plan_Supuestos!$F$36</f>
        <v>17306.6417328505</v>
      </c>
      <c r="X38" s="5" t="n">
        <f aca="false">X12*(Plan_Supuestos!$B$8*Supuestos!$B$7+(1-Plan_Supuestos!$B$8)*Supuestos!$B$8)*SUMPRODUCT(X17:X22,Plan_Supuestos!$F$30:$F$35)+X14*Plan_Supuestos!$F$36</f>
        <v>18296.652316882</v>
      </c>
      <c r="Y38" s="5" t="n">
        <f aca="false">Y12*(Plan_Supuestos!$B$8*Supuestos!$B$7+(1-Plan_Supuestos!$B$8)*Supuestos!$B$8)*SUMPRODUCT(Y17:Y22,Plan_Supuestos!$F$30:$F$35)+Y14*Plan_Supuestos!$F$36</f>
        <v>19343.906246103</v>
      </c>
    </row>
    <row r="39" customFormat="false" ht="15" hidden="false" customHeight="false" outlineLevel="0" collapsed="false">
      <c r="A39" s="4" t="s">
        <v>161</v>
      </c>
      <c r="B39" s="5" t="n">
        <f aca="false">B38*Plan_Supuestos!$B$11</f>
        <v>13913.6171019579</v>
      </c>
      <c r="C39" s="5" t="n">
        <f aca="false">C38*Plan_Supuestos!$B$11</f>
        <v>15970.0200929224</v>
      </c>
      <c r="D39" s="5" t="n">
        <f aca="false">D38*Plan_Supuestos!$B$11</f>
        <v>18214.852015321</v>
      </c>
      <c r="E39" s="5" t="n">
        <f aca="false">E38*Plan_Supuestos!$B$11</f>
        <v>20662.9908208422</v>
      </c>
      <c r="F39" s="5" t="n">
        <f aca="false">F38*Plan_Supuestos!$B$11</f>
        <v>23330.4107044803</v>
      </c>
      <c r="G39" s="5" t="n">
        <f aca="false">G38*Plan_Supuestos!$B$11</f>
        <v>26234.2600245816</v>
      </c>
      <c r="H39" s="5" t="n">
        <f aca="false">H38*Plan_Supuestos!$B$11</f>
        <v>29392.9446622997</v>
      </c>
      <c r="I39" s="5" t="n">
        <f aca="false">I38*Plan_Supuestos!$B$11</f>
        <v>32826.2171977345</v>
      </c>
      <c r="J39" s="5" t="n">
        <f aca="false">J38*Plan_Supuestos!$B$11</f>
        <v>36555.2723062557</v>
      </c>
      <c r="K39" s="5" t="n">
        <f aca="false">K38*Plan_Supuestos!$B$11</f>
        <v>40602.8488065785</v>
      </c>
      <c r="L39" s="5" t="n">
        <f aca="false">L38*Plan_Supuestos!$B$11</f>
        <v>44993.3388222007</v>
      </c>
      <c r="M39" s="5" t="n">
        <f aca="false">M38*Plan_Supuestos!$B$11</f>
        <v>49752.904549962</v>
      </c>
      <c r="N39" s="5" t="n">
        <f aca="false">N38*Plan_Supuestos!$B$11</f>
        <v>52522.5643558123</v>
      </c>
      <c r="O39" s="5" t="n">
        <f aca="false">O38*Plan_Supuestos!$B$11</f>
        <v>55512.1356914946</v>
      </c>
      <c r="P39" s="5" t="n">
        <f aca="false">P38*Plan_Supuestos!$B$11</f>
        <v>58673.5510101806</v>
      </c>
      <c r="Q39" s="5" t="n">
        <f aca="false">Q38*Plan_Supuestos!$B$11</f>
        <v>62016.8019693046</v>
      </c>
      <c r="R39" s="5" t="n">
        <f aca="false">R38*Plan_Supuestos!$B$11</f>
        <v>65552.4690506581</v>
      </c>
      <c r="S39" s="5" t="n">
        <f aca="false">S38*Plan_Supuestos!$B$11</f>
        <v>69291.7568160722</v>
      </c>
      <c r="T39" s="5" t="n">
        <f aca="false">T38*Plan_Supuestos!$B$11</f>
        <v>73246.5313140652</v>
      </c>
      <c r="U39" s="5" t="n">
        <f aca="false">U38*Plan_Supuestos!$B$11</f>
        <v>77429.3597716409</v>
      </c>
      <c r="V39" s="5" t="n">
        <f aca="false">V38*Plan_Supuestos!$B$11</f>
        <v>81853.5527140207</v>
      </c>
      <c r="W39" s="5" t="n">
        <f aca="false">W38*Plan_Supuestos!$B$11</f>
        <v>86533.2086642524</v>
      </c>
      <c r="X39" s="5" t="n">
        <f aca="false">X38*Plan_Supuestos!$B$11</f>
        <v>91483.26158441</v>
      </c>
      <c r="Y39" s="5" t="n">
        <f aca="false">Y38*Plan_Supuestos!$B$11</f>
        <v>96719.5312305148</v>
      </c>
    </row>
    <row r="40" customFormat="false" ht="15" hidden="false" customHeight="false" outlineLevel="0" collapsed="false">
      <c r="A40" s="4" t="s">
        <v>162</v>
      </c>
      <c r="B40" s="5" t="n">
        <f aca="false">0</f>
        <v>0</v>
      </c>
      <c r="C40" s="5" t="n">
        <f aca="false">C39-B39</f>
        <v>2056.40299096454</v>
      </c>
      <c r="D40" s="5" t="n">
        <f aca="false">D39-C39</f>
        <v>2244.83192239863</v>
      </c>
      <c r="E40" s="5" t="n">
        <f aca="false">E39-D39</f>
        <v>2448.13880552115</v>
      </c>
      <c r="F40" s="5" t="n">
        <f aca="false">F39-E39</f>
        <v>2667.41988363813</v>
      </c>
      <c r="G40" s="5" t="n">
        <f aca="false">G39-F39</f>
        <v>2903.84932010133</v>
      </c>
      <c r="H40" s="5" t="n">
        <f aca="false">H39-G39</f>
        <v>3158.68463771806</v>
      </c>
      <c r="I40" s="5" t="n">
        <f aca="false">I39-H39</f>
        <v>3433.27253543482</v>
      </c>
      <c r="J40" s="5" t="n">
        <f aca="false">J39-I39</f>
        <v>3729.05510852121</v>
      </c>
      <c r="K40" s="5" t="n">
        <f aca="false">K39-J39</f>
        <v>4047.57650032279</v>
      </c>
      <c r="L40" s="5" t="n">
        <f aca="false">L39-K39</f>
        <v>4390.49001562216</v>
      </c>
      <c r="M40" s="5" t="n">
        <f aca="false">M39-L39</f>
        <v>4759.56572776131</v>
      </c>
      <c r="N40" s="5" t="n">
        <f aca="false">N39-M39</f>
        <v>2769.65980585035</v>
      </c>
      <c r="O40" s="5" t="n">
        <f aca="false">O39-N39</f>
        <v>2989.57133568227</v>
      </c>
      <c r="P40" s="5" t="n">
        <f aca="false">P39-O39</f>
        <v>3161.41531868598</v>
      </c>
      <c r="Q40" s="5" t="n">
        <f aca="false">Q39-P39</f>
        <v>3343.25095912401</v>
      </c>
      <c r="R40" s="5" t="n">
        <f aca="false">R39-Q39</f>
        <v>3535.66708135349</v>
      </c>
      <c r="S40" s="5" t="n">
        <f aca="false">S39-R39</f>
        <v>3739.28776541418</v>
      </c>
      <c r="T40" s="5" t="n">
        <f aca="false">T39-S39</f>
        <v>3954.77449799299</v>
      </c>
      <c r="U40" s="5" t="n">
        <f aca="false">U39-T39</f>
        <v>4182.82845757571</v>
      </c>
      <c r="V40" s="5" t="n">
        <f aca="false">V39-U39</f>
        <v>4424.1929423798</v>
      </c>
      <c r="W40" s="5" t="n">
        <f aca="false">W39-V39</f>
        <v>4679.6559502317</v>
      </c>
      <c r="X40" s="5" t="n">
        <f aca="false">X39-W39</f>
        <v>4950.05292015751</v>
      </c>
      <c r="Y40" s="5" t="n">
        <f aca="false">Y39-X39</f>
        <v>5236.26964610483</v>
      </c>
    </row>
    <row r="41" customFormat="false" ht="15" hidden="false" customHeight="false" outlineLevel="0" collapsed="false">
      <c r="A41" s="4" t="s">
        <v>163</v>
      </c>
      <c r="B41" s="5" t="n">
        <f aca="false">B32-B40</f>
        <v>586.993376947577</v>
      </c>
      <c r="C41" s="5" t="n">
        <f aca="false">C32-C40</f>
        <v>-438.864759892655</v>
      </c>
      <c r="D41" s="5" t="n">
        <f aca="false">D32-D40</f>
        <v>467.489360048699</v>
      </c>
      <c r="E41" s="5" t="n">
        <f aca="false">E32-E40</f>
        <v>1426.85910755762</v>
      </c>
      <c r="F41" s="5" t="n">
        <f aca="false">F32-F40</f>
        <v>2441.98752541564</v>
      </c>
      <c r="G41" s="5" t="n">
        <f aca="false">G32-G40</f>
        <v>3515.73087045118</v>
      </c>
      <c r="H41" s="5" t="n">
        <f aca="false">H32-H40</f>
        <v>4651.06048571158</v>
      </c>
      <c r="I41" s="5" t="n">
        <f aca="false">I32-I40</f>
        <v>5851.06435135252</v>
      </c>
      <c r="J41" s="5" t="n">
        <f aca="false">J32-J40</f>
        <v>7118.94825836254</v>
      </c>
      <c r="K41" s="5" t="n">
        <f aca="false">K32-K40</f>
        <v>8458.03654287407</v>
      </c>
      <c r="L41" s="5" t="n">
        <f aca="false">L32-L40</f>
        <v>9871.77231182042</v>
      </c>
      <c r="M41" s="5" t="n">
        <f aca="false">M32-M40</f>
        <v>11363.7170830237</v>
      </c>
      <c r="N41" s="5" t="n">
        <f aca="false">N32-N40</f>
        <v>15191.5658284337</v>
      </c>
      <c r="O41" s="5" t="n">
        <f aca="false">O32-O40</f>
        <v>16324.2903942704</v>
      </c>
      <c r="P41" s="5" t="n">
        <f aca="false">P32-P40</f>
        <v>17541.9762685436</v>
      </c>
      <c r="Q41" s="5" t="n">
        <f aca="false">Q32-Q40</f>
        <v>18785.5372541653</v>
      </c>
      <c r="R41" s="5" t="n">
        <f aca="false">R32-R40</f>
        <v>20053.0524030552</v>
      </c>
      <c r="S41" s="5" t="n">
        <f aca="false">S32-S40</f>
        <v>21342.2234189617</v>
      </c>
      <c r="T41" s="5" t="n">
        <f aca="false">T32-T40</f>
        <v>22650.331878922</v>
      </c>
      <c r="U41" s="5" t="n">
        <f aca="false">U32-U40</f>
        <v>23974.1923211438</v>
      </c>
      <c r="V41" s="5" t="n">
        <f aca="false">V32-V40</f>
        <v>25310.1008283664</v>
      </c>
      <c r="W41" s="5" t="n">
        <f aca="false">W32-W40</f>
        <v>26653.7787038085</v>
      </c>
      <c r="X41" s="5" t="n">
        <f aca="false">X32-X40</f>
        <v>28000.3108021788</v>
      </c>
      <c r="Y41" s="5" t="n">
        <f aca="false">Y32-Y40</f>
        <v>29344.0780406877</v>
      </c>
    </row>
    <row r="42" customFormat="false" ht="15" hidden="false" customHeight="false" outlineLevel="0" collapsed="false">
      <c r="A42" s="8" t="s">
        <v>164</v>
      </c>
      <c r="B42" s="18" t="n">
        <f aca="false">B41</f>
        <v>586.993376947577</v>
      </c>
      <c r="C42" s="18" t="n">
        <f aca="false">B42+C41</f>
        <v>148.128617054923</v>
      </c>
      <c r="D42" s="18" t="n">
        <f aca="false">C42+D41</f>
        <v>615.617977103622</v>
      </c>
      <c r="E42" s="18" t="n">
        <f aca="false">D42+E41</f>
        <v>2042.47708466125</v>
      </c>
      <c r="F42" s="18" t="n">
        <f aca="false">E42+F41</f>
        <v>4484.46461007689</v>
      </c>
      <c r="G42" s="18" t="n">
        <f aca="false">F42+G41</f>
        <v>8000.19548052807</v>
      </c>
      <c r="H42" s="18" t="n">
        <f aca="false">G42+H41</f>
        <v>12651.2559662397</v>
      </c>
      <c r="I42" s="18" t="n">
        <f aca="false">H42+I41</f>
        <v>18502.3203175922</v>
      </c>
      <c r="J42" s="18" t="n">
        <f aca="false">I42+J41</f>
        <v>25621.2685759547</v>
      </c>
      <c r="K42" s="18" t="n">
        <f aca="false">J42+K41</f>
        <v>34079.3051188288</v>
      </c>
      <c r="L42" s="18" t="n">
        <f aca="false">K42+L41</f>
        <v>43951.0774306492</v>
      </c>
      <c r="M42" s="18" t="n">
        <f aca="false">L42+M41</f>
        <v>55314.7945136729</v>
      </c>
      <c r="N42" s="18" t="n">
        <f aca="false">M42+N41</f>
        <v>70506.3603421066</v>
      </c>
      <c r="O42" s="18" t="n">
        <f aca="false">N42+O41</f>
        <v>86830.650736377</v>
      </c>
      <c r="P42" s="18" t="n">
        <f aca="false">O42+P41</f>
        <v>104372.627004921</v>
      </c>
      <c r="Q42" s="18" t="n">
        <f aca="false">P42+Q41</f>
        <v>123158.164259086</v>
      </c>
      <c r="R42" s="18" t="n">
        <f aca="false">Q42+R41</f>
        <v>143211.216662141</v>
      </c>
      <c r="S42" s="18" t="n">
        <f aca="false">R42+S41</f>
        <v>164553.440081103</v>
      </c>
      <c r="T42" s="18" t="n">
        <f aca="false">S42+T41</f>
        <v>187203.771960025</v>
      </c>
      <c r="U42" s="18" t="n">
        <f aca="false">T42+U41</f>
        <v>211177.964281169</v>
      </c>
      <c r="V42" s="18" t="n">
        <f aca="false">U42+V41</f>
        <v>236488.065109535</v>
      </c>
      <c r="W42" s="18" t="n">
        <f aca="false">V42+W41</f>
        <v>263141.843813344</v>
      </c>
      <c r="X42" s="18" t="n">
        <f aca="false">W42+X41</f>
        <v>291142.154615522</v>
      </c>
      <c r="Y42" s="18" t="n">
        <f aca="false">X42+Y41</f>
        <v>320486.23265621</v>
      </c>
    </row>
    <row r="43" customFormat="false" ht="15" hidden="false" customHeight="false" outlineLevel="0" collapsed="false">
      <c r="A43" s="4" t="s">
        <v>165</v>
      </c>
      <c r="B43" s="5" t="n">
        <f aca="false">B12*(B17+B18)</f>
        <v>117.5625</v>
      </c>
      <c r="C43" s="5" t="n">
        <f aca="false">C12*(C17+C18)</f>
        <v>123.382122298448</v>
      </c>
      <c r="D43" s="5" t="n">
        <f aca="false">D12*(D17+D18)</f>
        <v>129.487210547274</v>
      </c>
      <c r="E43" s="5" t="n">
        <f aca="false">E12*(E17+E18)</f>
        <v>135.891587388587</v>
      </c>
      <c r="F43" s="5" t="n">
        <f aca="false">F12*(F17+F18)</f>
        <v>142.609732069386</v>
      </c>
      <c r="G43" s="5" t="n">
        <f aca="false">G12*(G17+G18)</f>
        <v>149.656810707866</v>
      </c>
      <c r="H43" s="5" t="n">
        <f aca="false">H12*(H17+H18)</f>
        <v>157.048707885114</v>
      </c>
      <c r="I43" s="5" t="n">
        <f aca="false">I12*(I17+I18)</f>
        <v>164.80205961473</v>
      </c>
      <c r="J43" s="5" t="n">
        <f aca="false">J12*(J17+J18)</f>
        <v>172.934287744484</v>
      </c>
      <c r="K43" s="5" t="n">
        <f aca="false">K12*(K17+K18)</f>
        <v>181.463635845756</v>
      </c>
      <c r="L43" s="5" t="n">
        <f aca="false">L12*(L17+L18)</f>
        <v>190.409206648121</v>
      </c>
      <c r="M43" s="5" t="n">
        <f aca="false">M12*(M17+M18)</f>
        <v>199.791001078028</v>
      </c>
      <c r="N43" s="5" t="n">
        <f aca="false">N12*(N17+N18)</f>
        <v>211.156920161666</v>
      </c>
      <c r="O43" s="5" t="n">
        <f aca="false">O12*(O17+O18)</f>
        <v>223.17574990658</v>
      </c>
      <c r="P43" s="5" t="n">
        <f aca="false">P12*(P17+P18)</f>
        <v>235.885424354182</v>
      </c>
      <c r="Q43" s="5" t="n">
        <f aca="false">Q12*(Q17+Q18)</f>
        <v>249.326111044029</v>
      </c>
      <c r="R43" s="5" t="n">
        <f aca="false">R12*(R17+R18)</f>
        <v>263.540344598961</v>
      </c>
      <c r="S43" s="5" t="n">
        <f aca="false">S12*(S17+S18)</f>
        <v>278.573168449673</v>
      </c>
      <c r="T43" s="5" t="n">
        <f aca="false">T12*(T17+T18)</f>
        <v>294.472285205677</v>
      </c>
      <c r="U43" s="5" t="n">
        <f aca="false">U12*(U17+U18)</f>
        <v>311.288216212053</v>
      </c>
      <c r="V43" s="5" t="n">
        <f aca="false">V12*(V17+V18)</f>
        <v>329.074470865904</v>
      </c>
      <c r="W43" s="5" t="n">
        <f aca="false">W12*(W17+W18)</f>
        <v>347.887726303275</v>
      </c>
      <c r="X43" s="5" t="n">
        <f aca="false">X12*(X17+X18)</f>
        <v>367.78801810655</v>
      </c>
      <c r="Y43" s="5" t="n">
        <f aca="false">Y12*(Y17+Y18)</f>
        <v>388.838942724236</v>
      </c>
    </row>
    <row r="44" customFormat="false" ht="15" hidden="false" customHeight="false" outlineLevel="0" collapsed="false">
      <c r="A44" s="4" t="s">
        <v>166</v>
      </c>
      <c r="B44" s="5" t="n">
        <f aca="false">B12*(B17*Plan_Supuestos!$I$30+B18*Plan_Supuestos!$I$31)+B14</f>
        <v>154.66125</v>
      </c>
      <c r="C44" s="5" t="n">
        <f aca="false">C12*(C17*Plan_Supuestos!$I$30+C18*Plan_Supuestos!$I$31)+C14</f>
        <v>162.165695289899</v>
      </c>
      <c r="D44" s="5" t="n">
        <f aca="false">D12*(D17*Plan_Supuestos!$I$30+D18*Plan_Supuestos!$I$31)+D14</f>
        <v>170.043766165905</v>
      </c>
      <c r="E44" s="5" t="n">
        <f aca="false">E12*(E17*Plan_Supuestos!$I$30+E18*Plan_Supuestos!$I$31)+E14</f>
        <v>178.313916514235</v>
      </c>
      <c r="F44" s="5" t="n">
        <f aca="false">F12*(F17*Plan_Supuestos!$I$30+F18*Plan_Supuestos!$I$31)+F14</f>
        <v>186.995501354723</v>
      </c>
      <c r="G44" s="5" t="n">
        <f aca="false">G12*(G17*Plan_Supuestos!$I$30+G18*Plan_Supuestos!$I$31)+G14</f>
        <v>196.108820103887</v>
      </c>
      <c r="H44" s="5" t="n">
        <f aca="false">H12*(H17*Plan_Supuestos!$I$30+H18*Plan_Supuestos!$I$31)+H14</f>
        <v>205.675161860232</v>
      </c>
      <c r="I44" s="5" t="n">
        <f aca="false">I12*(I17*Plan_Supuestos!$I$30+I18*Plan_Supuestos!$I$31)+I14</f>
        <v>215.716852802105</v>
      </c>
      <c r="J44" s="5" t="n">
        <f aca="false">J12*(J17*Plan_Supuestos!$I$30+J18*Plan_Supuestos!$I$31)+J14</f>
        <v>226.257305792102</v>
      </c>
      <c r="K44" s="5" t="n">
        <f aca="false">K12*(K17*Plan_Supuestos!$I$30+K18*Plan_Supuestos!$I$31)+K14</f>
        <v>237.321072285861</v>
      </c>
      <c r="L44" s="5" t="n">
        <f aca="false">L12*(L17*Plan_Supuestos!$I$30+L18*Plan_Supuestos!$I$31)+L14</f>
        <v>248.933896646991</v>
      </c>
      <c r="M44" s="5" t="n">
        <f aca="false">M12*(M17*Plan_Supuestos!$I$30+M18*Plan_Supuestos!$I$31)+M14</f>
        <v>261.12277297397</v>
      </c>
      <c r="N44" s="5" t="n">
        <f aca="false">N12*(N17*Plan_Supuestos!$I$30+N18*Plan_Supuestos!$I$31)+N14</f>
        <v>280.804730525591</v>
      </c>
      <c r="O44" s="5" t="n">
        <f aca="false">O12*(O17*Plan_Supuestos!$I$30+O18*Plan_Supuestos!$I$31)+O14</f>
        <v>296.784484167338</v>
      </c>
      <c r="P44" s="5" t="n">
        <f aca="false">P12*(P17*Plan_Supuestos!$I$30+P18*Plan_Supuestos!$I$31)+P14</f>
        <v>313.682532016163</v>
      </c>
      <c r="Q44" s="5" t="n">
        <f aca="false">Q12*(Q17*Plan_Supuestos!$I$30+Q18*Plan_Supuestos!$I$31)+Q14</f>
        <v>331.552250755648</v>
      </c>
      <c r="R44" s="5" t="n">
        <f aca="false">R12*(R17*Plan_Supuestos!$I$30+R18*Plan_Supuestos!$I$31)+R14</f>
        <v>350.450161501708</v>
      </c>
      <c r="S44" s="5" t="n">
        <f aca="false">S12*(S17*Plan_Supuestos!$I$30+S18*Plan_Supuestos!$I$31)+S14</f>
        <v>370.436117993581</v>
      </c>
      <c r="T44" s="5" t="n">
        <f aca="false">T12*(T17*Plan_Supuestos!$I$30+T18*Plan_Supuestos!$I$31)+T14</f>
        <v>391.573506260563</v>
      </c>
      <c r="U44" s="5" t="n">
        <f aca="false">U12*(U17*Plan_Supuestos!$I$30+U18*Plan_Supuestos!$I$31)+U14</f>
        <v>413.929456479964</v>
      </c>
      <c r="V44" s="5" t="n">
        <f aca="false">V12*(V17*Plan_Supuestos!$I$30+V18*Plan_Supuestos!$I$31)+V14</f>
        <v>437.575067787544</v>
      </c>
      <c r="W44" s="5" t="n">
        <f aca="false">W12*(W17*Plan_Supuestos!$I$30+W18*Plan_Supuestos!$I$31)+W14</f>
        <v>462.585646850534</v>
      </c>
      <c r="X44" s="5" t="n">
        <f aca="false">X12*(X17*Plan_Supuestos!$I$30+X18*Plan_Supuestos!$I$31)+X14</f>
        <v>489.040961065347</v>
      </c>
      <c r="Y44" s="5" t="n">
        <f aca="false">Y12*(Y17*Plan_Supuestos!$I$30+Y18*Plan_Supuestos!$I$31)+Y14</f>
        <v>517.02550729762</v>
      </c>
    </row>
    <row r="45" customFormat="false" ht="15" hidden="false" customHeight="false" outlineLevel="0" collapsed="false">
      <c r="A45" s="4" t="s">
        <v>167</v>
      </c>
      <c r="B45" s="5" t="n">
        <f aca="false">B12*(Plan_Supuestos!$B$43+(Plan_Supuestos!$B$44-Plan_Supuestos!$B$43)*B16)*Plan_Supuestos!$J$35</f>
        <v>9.9</v>
      </c>
      <c r="C45" s="5" t="n">
        <f aca="false">C12*(Plan_Supuestos!$B$43+(Plan_Supuestos!$B$44-Plan_Supuestos!$B$43)*C16)*Plan_Supuestos!$J$35</f>
        <v>11.8865243062089</v>
      </c>
      <c r="D45" s="5" t="n">
        <f aca="false">D12*(Plan_Supuestos!$B$43+(Plan_Supuestos!$B$44-Plan_Supuestos!$B$43)*D16)*Plan_Supuestos!$J$35</f>
        <v>14.0665058984429</v>
      </c>
      <c r="E45" s="5" t="n">
        <f aca="false">E12*(Plan_Supuestos!$B$43+(Plan_Supuestos!$B$44-Plan_Supuestos!$B$43)*E16)*Plan_Supuestos!$J$35</f>
        <v>16.4556219103367</v>
      </c>
      <c r="F45" s="5" t="n">
        <f aca="false">F12*(Plan_Supuestos!$B$43+(Plan_Supuestos!$B$44-Plan_Supuestos!$B$43)*F16)*Plan_Supuestos!$J$35</f>
        <v>19.0707212993476</v>
      </c>
      <c r="G45" s="5" t="n">
        <f aca="false">G12*(Plan_Supuestos!$B$43+(Plan_Supuestos!$B$44-Plan_Supuestos!$B$43)*G16)*Plan_Supuestos!$J$35</f>
        <v>21.9299088958061</v>
      </c>
      <c r="H45" s="5" t="n">
        <f aca="false">H12*(Plan_Supuestos!$B$43+(Plan_Supuestos!$B$44-Plan_Supuestos!$B$43)*H16)*Plan_Supuestos!$J$35</f>
        <v>25.0526353555516</v>
      </c>
      <c r="I45" s="5" t="n">
        <f aca="false">I12*(Plan_Supuestos!$B$43+(Plan_Supuestos!$B$44-Plan_Supuestos!$B$43)*I16)*Plan_Supuestos!$J$35</f>
        <v>28.4597934274433</v>
      </c>
      <c r="J45" s="5" t="n">
        <f aca="false">J12*(Plan_Supuestos!$B$43+(Plan_Supuestos!$B$44-Plan_Supuestos!$B$43)*J16)*Plan_Supuestos!$J$35</f>
        <v>32.1738209757179</v>
      </c>
      <c r="K45" s="5" t="n">
        <f aca="false">K12*(Plan_Supuestos!$B$43+(Plan_Supuestos!$B$44-Plan_Supuestos!$B$43)*K16)*Plan_Supuestos!$J$35</f>
        <v>36.2188112278699</v>
      </c>
      <c r="L45" s="5" t="n">
        <f aca="false">L12*(Plan_Supuestos!$B$43+(Plan_Supuestos!$B$44-Plan_Supuestos!$B$43)*L16)*Plan_Supuestos!$J$35</f>
        <v>40.6206307515992</v>
      </c>
      <c r="M45" s="5" t="n">
        <f aca="false">M12*(Plan_Supuestos!$B$43+(Plan_Supuestos!$B$44-Plan_Supuestos!$B$43)*M16)*Plan_Supuestos!$J$35</f>
        <v>45.4070456995518</v>
      </c>
      <c r="N45" s="5" t="n">
        <f aca="false">N12*(Plan_Supuestos!$B$43+(Plan_Supuestos!$B$44-Plan_Supuestos!$B$43)*N16)*Plan_Supuestos!$J$35</f>
        <v>47.9902091276513</v>
      </c>
      <c r="O45" s="5" t="n">
        <f aca="false">O12*(Plan_Supuestos!$B$43+(Plan_Supuestos!$B$44-Plan_Supuestos!$B$43)*O16)*Plan_Supuestos!$J$35</f>
        <v>50.7217613424046</v>
      </c>
      <c r="P45" s="5" t="n">
        <f aca="false">P12*(Plan_Supuestos!$B$43+(Plan_Supuestos!$B$44-Plan_Supuestos!$B$43)*P16)*Plan_Supuestos!$J$35</f>
        <v>53.6103237168596</v>
      </c>
      <c r="Q45" s="5" t="n">
        <f aca="false">Q12*(Plan_Supuestos!$B$43+(Plan_Supuestos!$B$44-Plan_Supuestos!$B$43)*Q16)*Plan_Supuestos!$J$35</f>
        <v>56.6650252372792</v>
      </c>
      <c r="R45" s="5" t="n">
        <f aca="false">R12*(Plan_Supuestos!$B$43+(Plan_Supuestos!$B$44-Plan_Supuestos!$B$43)*R16)*Plan_Supuestos!$J$35</f>
        <v>59.8955328634002</v>
      </c>
      <c r="S45" s="5" t="n">
        <f aca="false">S12*(Plan_Supuestos!$B$43+(Plan_Supuestos!$B$44-Plan_Supuestos!$B$43)*S16)*Plan_Supuestos!$J$35</f>
        <v>63.312083738562</v>
      </c>
      <c r="T45" s="5" t="n">
        <f aca="false">T12*(Plan_Supuestos!$B$43+(Plan_Supuestos!$B$44-Plan_Supuestos!$B$43)*T16)*Plan_Supuestos!$J$35</f>
        <v>66.9255193649265</v>
      </c>
      <c r="U45" s="5" t="n">
        <f aca="false">U12*(Plan_Supuestos!$B$43+(Plan_Supuestos!$B$44-Plan_Supuestos!$B$43)*U16)*Plan_Supuestos!$J$35</f>
        <v>70.7473218663756</v>
      </c>
      <c r="V45" s="5" t="n">
        <f aca="false">V12*(Plan_Supuestos!$B$43+(Plan_Supuestos!$B$44-Plan_Supuestos!$B$43)*V16)*Plan_Supuestos!$J$35</f>
        <v>74.7896524695237</v>
      </c>
      <c r="W45" s="5" t="n">
        <f aca="false">W12*(Plan_Supuestos!$B$43+(Plan_Supuestos!$B$44-Plan_Supuestos!$B$43)*W16)*Plan_Supuestos!$J$35</f>
        <v>79.0653923416534</v>
      </c>
      <c r="X45" s="5" t="n">
        <f aca="false">X12*(Plan_Supuestos!$B$43+(Plan_Supuestos!$B$44-Plan_Supuestos!$B$43)*X16)*Plan_Supuestos!$J$35</f>
        <v>83.5881859333068</v>
      </c>
      <c r="Y45" s="5" t="n">
        <f aca="false">Y12*(Plan_Supuestos!$B$43+(Plan_Supuestos!$B$44-Plan_Supuestos!$B$43)*Y16)*Plan_Supuestos!$J$35</f>
        <v>88.372486982781</v>
      </c>
    </row>
    <row r="46" customFormat="false" ht="15" hidden="false" customHeight="false" outlineLevel="0" collapsed="false">
      <c r="A46" s="4" t="s">
        <v>168</v>
      </c>
      <c r="B46" s="5" t="n">
        <f aca="false">B12*B19</f>
        <v>3.7125</v>
      </c>
      <c r="C46" s="5" t="n">
        <f aca="false">C12*C19</f>
        <v>4.27914875023519</v>
      </c>
      <c r="D46" s="5" t="n">
        <f aca="false">D12*D19</f>
        <v>4.8981583039221</v>
      </c>
      <c r="E46" s="5" t="n">
        <f aca="false">E12*E19</f>
        <v>5.57367838898499</v>
      </c>
      <c r="F46" s="5" t="n">
        <f aca="false">F12*F19</f>
        <v>6.31016513581355</v>
      </c>
      <c r="G46" s="5" t="n">
        <f aca="false">G12*G19</f>
        <v>7.1124028851263</v>
      </c>
      <c r="H46" s="5" t="n">
        <f aca="false">H12*H19</f>
        <v>7.98552751958206</v>
      </c>
      <c r="I46" s="5" t="n">
        <f aca="false">I12*I19</f>
        <v>8.93505142489499</v>
      </c>
      <c r="J46" s="5" t="n">
        <f aca="false">J12*J19</f>
        <v>9.96689019356478</v>
      </c>
      <c r="K46" s="5" t="n">
        <f aca="false">K12*K19</f>
        <v>11.0873911922051</v>
      </c>
      <c r="L46" s="5" t="n">
        <f aca="false">L12*L19</f>
        <v>12.3033641218786</v>
      </c>
      <c r="M46" s="5" t="n">
        <f aca="false">M12*M19</f>
        <v>13.6221137098655</v>
      </c>
      <c r="N46" s="5" t="n">
        <f aca="false">N12*N19</f>
        <v>14.3970627382954</v>
      </c>
      <c r="O46" s="5" t="n">
        <f aca="false">O12*O19</f>
        <v>15.2165284027214</v>
      </c>
      <c r="P46" s="5" t="n">
        <f aca="false">P12*P19</f>
        <v>16.0830971150579</v>
      </c>
      <c r="Q46" s="5" t="n">
        <f aca="false">Q12*Q19</f>
        <v>16.9995075711838</v>
      </c>
      <c r="R46" s="5" t="n">
        <f aca="false">R12*R19</f>
        <v>17.9686598590201</v>
      </c>
      <c r="S46" s="5" t="n">
        <f aca="false">S12*S19</f>
        <v>18.9936251215686</v>
      </c>
      <c r="T46" s="5" t="n">
        <f aca="false">T12*T19</f>
        <v>20.0776558094779</v>
      </c>
      <c r="U46" s="5" t="n">
        <f aca="false">U12*U19</f>
        <v>21.2241965599127</v>
      </c>
      <c r="V46" s="5" t="n">
        <f aca="false">V12*V19</f>
        <v>22.4368957408571</v>
      </c>
      <c r="W46" s="5" t="n">
        <f aca="false">W12*W19</f>
        <v>23.719617702496</v>
      </c>
      <c r="X46" s="5" t="n">
        <f aca="false">X12*X19</f>
        <v>25.076455779992</v>
      </c>
      <c r="Y46" s="5" t="n">
        <f aca="false">Y12*Y19</f>
        <v>26.5117460948343</v>
      </c>
    </row>
    <row r="47" customFormat="false" ht="15" hidden="false" customHeight="false" outlineLevel="0" collapsed="false">
      <c r="A47" s="4" t="s">
        <v>169</v>
      </c>
      <c r="B47" s="5" t="n">
        <f aca="false">B12*B20</f>
        <v>2.475</v>
      </c>
      <c r="C47" s="5" t="n">
        <f aca="false">C12*C20</f>
        <v>2.61503534736595</v>
      </c>
      <c r="D47" s="5" t="n">
        <f aca="false">D12*D20</f>
        <v>2.76306365862272</v>
      </c>
      <c r="E47" s="5" t="n">
        <f aca="false">E12*E20</f>
        <v>2.91954582280166</v>
      </c>
      <c r="F47" s="5" t="n">
        <f aca="false">F12*F20</f>
        <v>3.08496962195329</v>
      </c>
      <c r="G47" s="5" t="n">
        <f aca="false">G12*G20</f>
        <v>3.25985132234956</v>
      </c>
      <c r="H47" s="5" t="n">
        <f aca="false">H12*H20</f>
        <v>3.44473736138834</v>
      </c>
      <c r="I47" s="5" t="n">
        <f aca="false">I12*I20</f>
        <v>3.64020613606833</v>
      </c>
      <c r="J47" s="5" t="n">
        <f aca="false">J12*J20</f>
        <v>3.84686989927062</v>
      </c>
      <c r="K47" s="5" t="n">
        <f aca="false">K12*K20</f>
        <v>4.06537677047519</v>
      </c>
      <c r="L47" s="5" t="n">
        <f aca="false">L12*L20</f>
        <v>4.29641286795761</v>
      </c>
      <c r="M47" s="5" t="n">
        <f aca="false">M12*M20</f>
        <v>4.54070456995518</v>
      </c>
      <c r="N47" s="5" t="n">
        <f aca="false">N12*N20</f>
        <v>4.79902091276513</v>
      </c>
      <c r="O47" s="5" t="n">
        <f aca="false">O12*O20</f>
        <v>5.07217613424046</v>
      </c>
      <c r="P47" s="5" t="n">
        <f aca="false">P12*P20</f>
        <v>5.36103237168596</v>
      </c>
      <c r="Q47" s="5" t="n">
        <f aca="false">Q12*Q20</f>
        <v>5.66650252372792</v>
      </c>
      <c r="R47" s="5" t="n">
        <f aca="false">R12*R20</f>
        <v>5.98955328634002</v>
      </c>
      <c r="S47" s="5" t="n">
        <f aca="false">S12*S20</f>
        <v>6.3312083738562</v>
      </c>
      <c r="T47" s="5" t="n">
        <f aca="false">T12*T20</f>
        <v>6.69255193649265</v>
      </c>
      <c r="U47" s="5" t="n">
        <f aca="false">U12*U20</f>
        <v>7.07473218663756</v>
      </c>
      <c r="V47" s="5" t="n">
        <f aca="false">V12*V20</f>
        <v>7.47896524695238</v>
      </c>
      <c r="W47" s="5" t="n">
        <f aca="false">W12*W20</f>
        <v>7.90653923416534</v>
      </c>
      <c r="X47" s="5" t="n">
        <f aca="false">X12*X20</f>
        <v>8.35881859333068</v>
      </c>
      <c r="Y47" s="5" t="n">
        <f aca="false">Y12*Y20</f>
        <v>8.8372486982781</v>
      </c>
    </row>
    <row r="48" customFormat="false" ht="15" hidden="false" customHeight="false" outlineLevel="0" collapsed="false">
      <c r="A48" s="4" t="s">
        <v>170</v>
      </c>
      <c r="B48" s="5" t="n">
        <f aca="false">B12*B21</f>
        <v>0</v>
      </c>
      <c r="C48" s="5" t="n">
        <f aca="false">C12*C21</f>
        <v>0.475460972248355</v>
      </c>
      <c r="D48" s="5" t="n">
        <f aca="false">D12*D21</f>
        <v>1.00475042131735</v>
      </c>
      <c r="E48" s="5" t="n">
        <f aca="false">E12*E21</f>
        <v>1.59247953971</v>
      </c>
      <c r="F48" s="5" t="n">
        <f aca="false">F12*F21</f>
        <v>2.24361427051148</v>
      </c>
      <c r="G48" s="5" t="n">
        <f aca="false">G12*G21</f>
        <v>2.96350120213596</v>
      </c>
      <c r="H48" s="5" t="n">
        <f aca="false">H12*H21</f>
        <v>3.75789530333273</v>
      </c>
      <c r="I48" s="5" t="n">
        <f aca="false">I12*I21</f>
        <v>4.63298962772333</v>
      </c>
      <c r="J48" s="5" t="n">
        <f aca="false">J12*J21</f>
        <v>5.59544712621181</v>
      </c>
      <c r="K48" s="5" t="n">
        <f aca="false">K12*K21</f>
        <v>6.65243471532305</v>
      </c>
      <c r="L48" s="5" t="n">
        <f aca="false">L12*L21</f>
        <v>7.81165975992292</v>
      </c>
      <c r="M48" s="5" t="n">
        <f aca="false">M12*M21</f>
        <v>9.08140913991035</v>
      </c>
      <c r="N48" s="5" t="n">
        <f aca="false">N12*N21</f>
        <v>9.59804182553025</v>
      </c>
      <c r="O48" s="5" t="n">
        <f aca="false">O12*O21</f>
        <v>10.1443522684809</v>
      </c>
      <c r="P48" s="5" t="n">
        <f aca="false">P12*P21</f>
        <v>10.7220647433719</v>
      </c>
      <c r="Q48" s="5" t="n">
        <f aca="false">Q12*Q21</f>
        <v>11.3330050474558</v>
      </c>
      <c r="R48" s="5" t="n">
        <f aca="false">R12*R21</f>
        <v>11.97910657268</v>
      </c>
      <c r="S48" s="5" t="n">
        <f aca="false">S12*S21</f>
        <v>12.6624167477124</v>
      </c>
      <c r="T48" s="5" t="n">
        <f aca="false">T12*T21</f>
        <v>13.3851038729853</v>
      </c>
      <c r="U48" s="5" t="n">
        <f aca="false">U12*U21</f>
        <v>14.1494643732751</v>
      </c>
      <c r="V48" s="5" t="n">
        <f aca="false">V12*V21</f>
        <v>14.9579304939048</v>
      </c>
      <c r="W48" s="5" t="n">
        <f aca="false">W12*W21</f>
        <v>15.8130784683307</v>
      </c>
      <c r="X48" s="5" t="n">
        <f aca="false">X12*X21</f>
        <v>16.7176371866614</v>
      </c>
      <c r="Y48" s="5" t="n">
        <f aca="false">Y12*Y21</f>
        <v>17.6744973965562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102</v>
      </c>
    </row>
    <row r="4" customFormat="false" ht="15" hidden="false" customHeight="false" outlineLevel="0" collapsed="false">
      <c r="A4" s="4" t="s">
        <v>103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104</v>
      </c>
      <c r="B5" s="3" t="s">
        <v>105</v>
      </c>
      <c r="C5" s="3" t="s">
        <v>106</v>
      </c>
      <c r="D5" s="3" t="s">
        <v>107</v>
      </c>
      <c r="E5" s="3" t="s">
        <v>108</v>
      </c>
      <c r="F5" s="3" t="s">
        <v>109</v>
      </c>
      <c r="G5" s="3" t="s">
        <v>110</v>
      </c>
      <c r="H5" s="3" t="s">
        <v>111</v>
      </c>
      <c r="I5" s="3" t="s">
        <v>112</v>
      </c>
      <c r="J5" s="3" t="s">
        <v>113</v>
      </c>
      <c r="K5" s="3" t="s">
        <v>114</v>
      </c>
      <c r="L5" s="3" t="s">
        <v>115</v>
      </c>
      <c r="M5" s="3" t="s">
        <v>116</v>
      </c>
      <c r="N5" s="3" t="s">
        <v>117</v>
      </c>
      <c r="O5" s="3" t="s">
        <v>118</v>
      </c>
      <c r="P5" s="3" t="s">
        <v>119</v>
      </c>
      <c r="Q5" s="3" t="s">
        <v>120</v>
      </c>
      <c r="R5" s="3" t="s">
        <v>121</v>
      </c>
      <c r="S5" s="3" t="s">
        <v>122</v>
      </c>
      <c r="T5" s="3" t="s">
        <v>123</v>
      </c>
      <c r="U5" s="3" t="s">
        <v>124</v>
      </c>
      <c r="V5" s="3" t="s">
        <v>125</v>
      </c>
      <c r="W5" s="3" t="s">
        <v>126</v>
      </c>
      <c r="X5" s="3" t="s">
        <v>127</v>
      </c>
      <c r="Y5" s="3" t="s">
        <v>128</v>
      </c>
    </row>
    <row r="7" customFormat="false" ht="15" hidden="false" customHeight="false" outlineLevel="0" collapsed="false">
      <c r="A7" s="4" t="s">
        <v>129</v>
      </c>
      <c r="B7" s="5" t="n">
        <f aca="false">MIN(Plan_Supuestos!$C$20,Plan_Supuestos!$B$6*(1+Plan_Supuestos!$C$19)^(B$4-1))</f>
        <v>9000</v>
      </c>
      <c r="C7" s="5" t="n">
        <f aca="false">MIN(Plan_Supuestos!$C$20,Plan_Supuestos!$B$6*(1+Plan_Supuestos!$C$19)^(C$4-1))</f>
        <v>10080</v>
      </c>
      <c r="D7" s="5" t="n">
        <f aca="false">MIN(Plan_Supuestos!$C$20,Plan_Supuestos!$B$6*(1+Plan_Supuestos!$C$19)^(D$4-1))</f>
        <v>11289.6</v>
      </c>
      <c r="E7" s="5" t="n">
        <f aca="false">MIN(Plan_Supuestos!$C$20,Plan_Supuestos!$B$6*(1+Plan_Supuestos!$C$19)^(E$4-1))</f>
        <v>12644.352</v>
      </c>
      <c r="F7" s="5" t="n">
        <f aca="false">MIN(Plan_Supuestos!$C$20,Plan_Supuestos!$B$6*(1+Plan_Supuestos!$C$19)^(F$4-1))</f>
        <v>14161.67424</v>
      </c>
      <c r="G7" s="5" t="n">
        <f aca="false">MIN(Plan_Supuestos!$C$20,Plan_Supuestos!$B$6*(1+Plan_Supuestos!$C$19)^(G$4-1))</f>
        <v>15861.0751488</v>
      </c>
      <c r="H7" s="5" t="n">
        <f aca="false">MIN(Plan_Supuestos!$C$20,Plan_Supuestos!$B$6*(1+Plan_Supuestos!$C$19)^(H$4-1))</f>
        <v>17764.404166656</v>
      </c>
      <c r="I7" s="5" t="n">
        <f aca="false">MIN(Plan_Supuestos!$C$20,Plan_Supuestos!$B$6*(1+Plan_Supuestos!$C$19)^(I$4-1))</f>
        <v>19896.1326666547</v>
      </c>
      <c r="J7" s="5" t="n">
        <f aca="false">MIN(Plan_Supuestos!$C$20,Plan_Supuestos!$B$6*(1+Plan_Supuestos!$C$19)^(J$4-1))</f>
        <v>22283.6685866533</v>
      </c>
      <c r="K7" s="5" t="n">
        <f aca="false">MIN(Plan_Supuestos!$C$20,Plan_Supuestos!$B$6*(1+Plan_Supuestos!$C$19)^(K$4-1))</f>
        <v>24957.7088170517</v>
      </c>
      <c r="L7" s="5" t="n">
        <f aca="false">MIN(Plan_Supuestos!$C$20,Plan_Supuestos!$B$6*(1+Plan_Supuestos!$C$19)^(L$4-1))</f>
        <v>27952.6338750979</v>
      </c>
      <c r="M7" s="5" t="n">
        <f aca="false">MIN(Plan_Supuestos!$C$20,Plan_Supuestos!$B$6*(1+Plan_Supuestos!$C$19)^(M$4-1))</f>
        <v>31306.9499401097</v>
      </c>
      <c r="N7" s="5" t="n">
        <f aca="false">MIN(Plan_Supuestos!$C$20,Plan_Supuestos!$B$6*(1+Plan_Supuestos!$C$19)^(N$4-1))</f>
        <v>35063.7839329228</v>
      </c>
      <c r="O7" s="5" t="n">
        <f aca="false">MIN(Plan_Supuestos!$C$20,Plan_Supuestos!$B$6*(1+Plan_Supuestos!$C$19)^(O$4-1))</f>
        <v>39271.4380048736</v>
      </c>
      <c r="P7" s="5" t="n">
        <f aca="false">MIN(Plan_Supuestos!$C$20,Plan_Supuestos!$B$6*(1+Plan_Supuestos!$C$19)^(P$4-1))</f>
        <v>43984.0105654584</v>
      </c>
      <c r="Q7" s="5" t="n">
        <f aca="false">MIN(Plan_Supuestos!$C$20,Plan_Supuestos!$B$6*(1+Plan_Supuestos!$C$19)^(Q$4-1))</f>
        <v>49262.0918333134</v>
      </c>
      <c r="R7" s="5" t="n">
        <f aca="false">MIN(Plan_Supuestos!$C$20,Plan_Supuestos!$B$6*(1+Plan_Supuestos!$C$19)^(R$4-1))</f>
        <v>55173.542853311</v>
      </c>
      <c r="S7" s="5" t="n">
        <f aca="false">MIN(Plan_Supuestos!$C$20,Plan_Supuestos!$B$6*(1+Plan_Supuestos!$C$19)^(S$4-1))</f>
        <v>61794.3679957084</v>
      </c>
      <c r="T7" s="5" t="n">
        <f aca="false">MIN(Plan_Supuestos!$C$20,Plan_Supuestos!$B$6*(1+Plan_Supuestos!$C$19)^(T$4-1))</f>
        <v>69209.6921551934</v>
      </c>
      <c r="U7" s="5" t="n">
        <f aca="false">MIN(Plan_Supuestos!$C$20,Plan_Supuestos!$B$6*(1+Plan_Supuestos!$C$19)^(U$4-1))</f>
        <v>77514.8552138166</v>
      </c>
      <c r="V7" s="5" t="n">
        <f aca="false">MIN(Plan_Supuestos!$C$20,Plan_Supuestos!$B$6*(1+Plan_Supuestos!$C$19)^(V$4-1))</f>
        <v>86816.6378394746</v>
      </c>
      <c r="W7" s="5" t="n">
        <f aca="false">MIN(Plan_Supuestos!$C$20,Plan_Supuestos!$B$6*(1+Plan_Supuestos!$C$19)^(W$4-1))</f>
        <v>97234.6343802115</v>
      </c>
      <c r="X7" s="5" t="n">
        <f aca="false">MIN(Plan_Supuestos!$C$20,Plan_Supuestos!$B$6*(1+Plan_Supuestos!$C$19)^(X$4-1))</f>
        <v>108902.790505837</v>
      </c>
      <c r="Y7" s="5" t="n">
        <f aca="false">MIN(Plan_Supuestos!$C$20,Plan_Supuestos!$B$6*(1+Plan_Supuestos!$C$19)^(Y$4-1))</f>
        <v>121971.125366537</v>
      </c>
    </row>
    <row r="8" customFormat="false" ht="15" hidden="false" customHeight="false" outlineLevel="0" collapsed="false">
      <c r="A8" s="4" t="s">
        <v>130</v>
      </c>
      <c r="B8" s="28" t="n">
        <f aca="false">MIN(Plan_Supuestos!$C$22,Plan_Supuestos!$C$21*(B$4-1))</f>
        <v>0</v>
      </c>
      <c r="C8" s="28" t="n">
        <f aca="false">MIN(Plan_Supuestos!$C$22,Plan_Supuestos!$C$21*(C$4-1))</f>
        <v>0.01</v>
      </c>
      <c r="D8" s="28" t="n">
        <f aca="false">MIN(Plan_Supuestos!$C$22,Plan_Supuestos!$C$21*(D$4-1))</f>
        <v>0.02</v>
      </c>
      <c r="E8" s="28" t="n">
        <f aca="false">MIN(Plan_Supuestos!$C$22,Plan_Supuestos!$C$21*(E$4-1))</f>
        <v>0.03</v>
      </c>
      <c r="F8" s="28" t="n">
        <f aca="false">MIN(Plan_Supuestos!$C$22,Plan_Supuestos!$C$21*(F$4-1))</f>
        <v>0.04</v>
      </c>
      <c r="G8" s="28" t="n">
        <f aca="false">MIN(Plan_Supuestos!$C$22,Plan_Supuestos!$C$21*(G$4-1))</f>
        <v>0.05</v>
      </c>
      <c r="H8" s="28" t="n">
        <f aca="false">MIN(Plan_Supuestos!$C$22,Plan_Supuestos!$C$21*(H$4-1))</f>
        <v>0.06</v>
      </c>
      <c r="I8" s="28" t="n">
        <f aca="false">MIN(Plan_Supuestos!$C$22,Plan_Supuestos!$C$21*(I$4-1))</f>
        <v>0.07</v>
      </c>
      <c r="J8" s="28" t="n">
        <f aca="false">MIN(Plan_Supuestos!$C$22,Plan_Supuestos!$C$21*(J$4-1))</f>
        <v>0.08</v>
      </c>
      <c r="K8" s="28" t="n">
        <f aca="false">MIN(Plan_Supuestos!$C$22,Plan_Supuestos!$C$21*(K$4-1))</f>
        <v>0.09</v>
      </c>
      <c r="L8" s="28" t="n">
        <f aca="false">MIN(Plan_Supuestos!$C$22,Plan_Supuestos!$C$21*(L$4-1))</f>
        <v>0.1</v>
      </c>
      <c r="M8" s="28" t="n">
        <f aca="false">MIN(Plan_Supuestos!$C$22,Plan_Supuestos!$C$21*(M$4-1))</f>
        <v>0.11</v>
      </c>
      <c r="N8" s="28" t="n">
        <f aca="false">MIN(Plan_Supuestos!$C$22,Plan_Supuestos!$C$21*(N$4-1))</f>
        <v>0.12</v>
      </c>
      <c r="O8" s="28" t="n">
        <f aca="false">MIN(Plan_Supuestos!$C$22,Plan_Supuestos!$C$21*(O$4-1))</f>
        <v>0.13</v>
      </c>
      <c r="P8" s="28" t="n">
        <f aca="false">MIN(Plan_Supuestos!$C$22,Plan_Supuestos!$C$21*(P$4-1))</f>
        <v>0.14</v>
      </c>
      <c r="Q8" s="28" t="n">
        <f aca="false">MIN(Plan_Supuestos!$C$22,Plan_Supuestos!$C$21*(Q$4-1))</f>
        <v>0.15</v>
      </c>
      <c r="R8" s="28" t="n">
        <f aca="false">MIN(Plan_Supuestos!$C$22,Plan_Supuestos!$C$21*(R$4-1))</f>
        <v>0.16</v>
      </c>
      <c r="S8" s="28" t="n">
        <f aca="false">MIN(Plan_Supuestos!$C$22,Plan_Supuestos!$C$21*(S$4-1))</f>
        <v>0.17</v>
      </c>
      <c r="T8" s="28" t="n">
        <f aca="false">MIN(Plan_Supuestos!$C$22,Plan_Supuestos!$C$21*(T$4-1))</f>
        <v>0.18</v>
      </c>
      <c r="U8" s="28" t="n">
        <f aca="false">MIN(Plan_Supuestos!$C$22,Plan_Supuestos!$C$21*(U$4-1))</f>
        <v>0.19</v>
      </c>
      <c r="V8" s="28" t="n">
        <f aca="false">MIN(Plan_Supuestos!$C$22,Plan_Supuestos!$C$21*(V$4-1))</f>
        <v>0.2</v>
      </c>
      <c r="W8" s="28" t="n">
        <f aca="false">MIN(Plan_Supuestos!$C$22,Plan_Supuestos!$C$21*(W$4-1))</f>
        <v>0.2</v>
      </c>
      <c r="X8" s="28" t="n">
        <f aca="false">MIN(Plan_Supuestos!$C$22,Plan_Supuestos!$C$21*(X$4-1))</f>
        <v>0.2</v>
      </c>
      <c r="Y8" s="28" t="n">
        <f aca="false">MIN(Plan_Supuestos!$C$22,Plan_Supuestos!$C$21*(Y$4-1))</f>
        <v>0.2</v>
      </c>
    </row>
    <row r="9" customFormat="false" ht="15" hidden="false" customHeight="false" outlineLevel="0" collapsed="false">
      <c r="A9" s="4" t="s">
        <v>131</v>
      </c>
      <c r="B9" s="6" t="n">
        <f aca="false">Plan_Supuestos!$C$17*(B7/Plan_Supuestos!$B$6)^Plan_Supuestos!$C$18*(1-B8)</f>
        <v>65</v>
      </c>
      <c r="C9" s="6" t="n">
        <f aca="false">Plan_Supuestos!$C$17*(C7/Plan_Supuestos!$B$6)^Plan_Supuestos!$C$18*(1-C8)</f>
        <v>66.1992481328659</v>
      </c>
      <c r="D9" s="6" t="n">
        <f aca="false">Plan_Supuestos!$C$17*(D7/Plan_Supuestos!$B$6)^Plan_Supuestos!$C$18*(1-D8)</f>
        <v>67.4137434059258</v>
      </c>
      <c r="E9" s="6" t="n">
        <f aca="false">Plan_Supuestos!$C$17*(E7/Plan_Supuestos!$B$6)^Plan_Supuestos!$C$18*(1-E8)</f>
        <v>68.6433717627674</v>
      </c>
      <c r="F9" s="6" t="n">
        <f aca="false">Plan_Supuestos!$C$17*(F7/Plan_Supuestos!$B$6)^Plan_Supuestos!$C$18*(1-F8)</f>
        <v>69.888</v>
      </c>
      <c r="G9" s="6" t="n">
        <f aca="false">Plan_Supuestos!$C$17*(G7/Plan_Supuestos!$B$6)^Plan_Supuestos!$C$18*(1-G8)</f>
        <v>71.1474747609791</v>
      </c>
      <c r="H9" s="6" t="n">
        <f aca="false">Plan_Supuestos!$C$17*(H7/Plan_Supuestos!$B$6)^Plan_Supuestos!$C$18*(1-H8)</f>
        <v>72.4216214875088</v>
      </c>
      <c r="I9" s="6" t="n">
        <f aca="false">Plan_Supuestos!$C$17*(I7/Plan_Supuestos!$B$6)^Plan_Supuestos!$C$18*(1-I8)</f>
        <v>73.7102433279367</v>
      </c>
      <c r="J9" s="6" t="n">
        <f aca="false">Plan_Supuestos!$C$17*(J7/Plan_Supuestos!$B$6)^Plan_Supuestos!$C$18*(1-J8)</f>
        <v>75.01312</v>
      </c>
      <c r="K9" s="6" t="n">
        <f aca="false">Plan_Supuestos!$C$17*(K7/Plan_Supuestos!$B$6)^Plan_Supuestos!$C$18*(1-K8)</f>
        <v>76.3300066067262</v>
      </c>
      <c r="L9" s="6" t="n">
        <f aca="false">Plan_Supuestos!$C$17*(L7/Plan_Supuestos!$B$6)^Plan_Supuestos!$C$18*(1-L8)</f>
        <v>77.6606324036265</v>
      </c>
      <c r="M9" s="6" t="n">
        <f aca="false">Plan_Supuestos!$C$17*(M7/Plan_Supuestos!$B$6)^Plan_Supuestos!$C$18*(1-M8)</f>
        <v>79.0046995153627</v>
      </c>
      <c r="N9" s="6" t="n">
        <f aca="false">Plan_Supuestos!$C$17*(N7/Plan_Supuestos!$B$6)^Plan_Supuestos!$C$18*(1-N8)</f>
        <v>80.3618816</v>
      </c>
      <c r="O9" s="6" t="n">
        <f aca="false">Plan_Supuestos!$C$17*(O7/Plan_Supuestos!$B$6)^Plan_Supuestos!$C$18*(1-O8)</f>
        <v>81.7318224588945</v>
      </c>
      <c r="P9" s="6" t="n">
        <f aca="false">Plan_Supuestos!$C$17*(P7/Plan_Supuestos!$B$6)^Plan_Supuestos!$C$18*(1-P8)</f>
        <v>83.1141345901923</v>
      </c>
      <c r="Q9" s="6" t="n">
        <f aca="false">Plan_Supuestos!$C$17*(Q7/Plan_Supuestos!$B$6)^Plan_Supuestos!$C$18*(1-Q8)</f>
        <v>84.5083976838486</v>
      </c>
      <c r="R9" s="6" t="n">
        <f aca="false">Plan_Supuestos!$C$17*(R7/Plan_Supuestos!$B$6)^Plan_Supuestos!$C$18*(1-R8)</f>
        <v>85.914157056</v>
      </c>
      <c r="S9" s="6" t="n">
        <f aca="false">Plan_Supuestos!$C$17*(S7/Plan_Supuestos!$B$6)^Plan_Supuestos!$C$18*(1-S8)</f>
        <v>87.3309220204464</v>
      </c>
      <c r="T9" s="6" t="n">
        <f aca="false">Plan_Supuestos!$C$17*(T7/Plan_Supuestos!$B$6)^Plan_Supuestos!$C$18*(1-T8)</f>
        <v>88.7581641949216</v>
      </c>
      <c r="U9" s="6" t="n">
        <f aca="false">Plan_Supuestos!$C$17*(U7/Plan_Supuestos!$B$6)^Plan_Supuestos!$C$18*(1-U8)</f>
        <v>90.19531573975</v>
      </c>
      <c r="V9" s="6" t="n">
        <f aca="false">Plan_Supuestos!$C$17*(V7/Plan_Supuestos!$B$6)^Plan_Supuestos!$C$18*(1-V8)</f>
        <v>91.6417675264001</v>
      </c>
      <c r="W9" s="6" t="n">
        <f aca="false">Plan_Supuestos!$C$17*(W7/Plan_Supuestos!$B$6)^Plan_Supuestos!$C$18*(1-W8)</f>
        <v>94.275308590747</v>
      </c>
      <c r="X9" s="6" t="n">
        <f aca="false">Plan_Supuestos!$C$17*(X7/Plan_Supuestos!$B$6)^Plan_Supuestos!$C$18*(1-X8)</f>
        <v>96.9845306324997</v>
      </c>
      <c r="Y9" s="6" t="n">
        <f aca="false">Plan_Supuestos!$C$17*(Y7/Plan_Supuestos!$B$6)^Plan_Supuestos!$C$18*(1-Y8)</f>
        <v>99.7716085219951</v>
      </c>
    </row>
    <row r="10" customFormat="false" ht="15" hidden="false" customHeight="false" outlineLevel="0" collapsed="false">
      <c r="A10" s="4" t="s">
        <v>132</v>
      </c>
      <c r="B10" s="5" t="n">
        <f aca="false">B7/B9</f>
        <v>138.461538461538</v>
      </c>
      <c r="C10" s="5" t="n">
        <f aca="false">C7/C9</f>
        <v>152.267590407807</v>
      </c>
      <c r="D10" s="5" t="n">
        <f aca="false">D7/D9</f>
        <v>167.467335733319</v>
      </c>
      <c r="E10" s="5" t="n">
        <f aca="false">E7/E9</f>
        <v>184.203538889364</v>
      </c>
      <c r="F10" s="5" t="n">
        <f aca="false">F7/F9</f>
        <v>202.633846153846</v>
      </c>
      <c r="G10" s="5" t="n">
        <f aca="false">G7/G9</f>
        <v>222.932369730416</v>
      </c>
      <c r="H10" s="5" t="n">
        <f aca="false">H7/H9</f>
        <v>245.2914447617</v>
      </c>
      <c r="I10" s="5" t="n">
        <f aca="false">I7/I9</f>
        <v>269.923578709907</v>
      </c>
      <c r="J10" s="5" t="n">
        <f aca="false">J7/J9</f>
        <v>297.063614827024</v>
      </c>
      <c r="K10" s="5" t="n">
        <f aca="false">K7/K9</f>
        <v>326.971133981959</v>
      </c>
      <c r="L10" s="5" t="n">
        <f aca="false">L7/L9</f>
        <v>359.933121968662</v>
      </c>
      <c r="M10" s="5" t="n">
        <f aca="false">M7/M9</f>
        <v>396.266932627494</v>
      </c>
      <c r="N10" s="5" t="n">
        <f aca="false">N7/N9</f>
        <v>436.323580717687</v>
      </c>
      <c r="O10" s="5" t="n">
        <f aca="false">O7/O9</f>
        <v>480.491402533259</v>
      </c>
      <c r="P10" s="5" t="n">
        <f aca="false">P7/P9</f>
        <v>529.200126817523</v>
      </c>
      <c r="Q10" s="5" t="n">
        <f aca="false">Q7/Q9</f>
        <v>582.925403669421</v>
      </c>
      <c r="R10" s="5" t="n">
        <f aca="false">R7/R9</f>
        <v>642.193844925326</v>
      </c>
      <c r="S10" s="5" t="n">
        <f aca="false">S7/S9</f>
        <v>707.588636030211</v>
      </c>
      <c r="T10" s="5" t="n">
        <f aca="false">T7/T9</f>
        <v>779.755786782634</v>
      </c>
      <c r="U10" s="5" t="n">
        <f aca="false">U7/U9</f>
        <v>859.411096663582</v>
      </c>
      <c r="V10" s="5" t="n">
        <f aca="false">V7/V9</f>
        <v>947.347919871412</v>
      </c>
      <c r="W10" s="5" t="n">
        <f aca="false">W7/W9</f>
        <v>1031.39025301218</v>
      </c>
      <c r="X10" s="5" t="n">
        <f aca="false">X7/X9</f>
        <v>1122.88825646328</v>
      </c>
      <c r="Y10" s="5" t="n">
        <f aca="false">Y7/Y9</f>
        <v>1222.50334712854</v>
      </c>
    </row>
    <row r="11" customFormat="false" ht="15" hidden="false" customHeight="false" outlineLevel="0" collapsed="false">
      <c r="A11" s="4" t="s">
        <v>133</v>
      </c>
      <c r="B11" s="5" t="n">
        <f aca="false">B10*Plan_Supuestos!$C$23</f>
        <v>20.7692307692308</v>
      </c>
      <c r="C11" s="5" t="n">
        <f aca="false">C10*Plan_Supuestos!$C$23</f>
        <v>22.8401385611711</v>
      </c>
      <c r="D11" s="5" t="n">
        <f aca="false">D10*Plan_Supuestos!$C$23</f>
        <v>25.1201003599979</v>
      </c>
      <c r="E11" s="5" t="n">
        <f aca="false">E10*Plan_Supuestos!$C$23</f>
        <v>27.6305308334046</v>
      </c>
      <c r="F11" s="5" t="n">
        <f aca="false">F10*Plan_Supuestos!$C$23</f>
        <v>30.3950769230769</v>
      </c>
      <c r="G11" s="5" t="n">
        <f aca="false">G10*Plan_Supuestos!$C$23</f>
        <v>33.4398554595624</v>
      </c>
      <c r="H11" s="5" t="n">
        <f aca="false">H10*Plan_Supuestos!$C$23</f>
        <v>36.793716714255</v>
      </c>
      <c r="I11" s="5" t="n">
        <f aca="false">I10*Plan_Supuestos!$C$23</f>
        <v>40.4885368064861</v>
      </c>
      <c r="J11" s="5" t="n">
        <f aca="false">J10*Plan_Supuestos!$C$23</f>
        <v>44.5595422240535</v>
      </c>
      <c r="K11" s="5" t="n">
        <f aca="false">K10*Plan_Supuestos!$C$23</f>
        <v>49.0456700972939</v>
      </c>
      <c r="L11" s="5" t="n">
        <f aca="false">L10*Plan_Supuestos!$C$23</f>
        <v>53.9899682952993</v>
      </c>
      <c r="M11" s="5" t="n">
        <f aca="false">M10*Plan_Supuestos!$C$23</f>
        <v>59.4400398941242</v>
      </c>
      <c r="N11" s="5" t="n">
        <f aca="false">N10*Plan_Supuestos!$C$23</f>
        <v>65.4485371076531</v>
      </c>
      <c r="O11" s="5" t="n">
        <f aca="false">O10*Plan_Supuestos!$C$23</f>
        <v>72.0737103799889</v>
      </c>
      <c r="P11" s="5" t="n">
        <f aca="false">P10*Plan_Supuestos!$C$23</f>
        <v>79.3800190226284</v>
      </c>
      <c r="Q11" s="5" t="n">
        <f aca="false">Q10*Plan_Supuestos!$C$23</f>
        <v>87.4388105504131</v>
      </c>
      <c r="R11" s="5" t="n">
        <f aca="false">R10*Plan_Supuestos!$C$23</f>
        <v>96.329076738799</v>
      </c>
      <c r="S11" s="5" t="n">
        <f aca="false">S10*Plan_Supuestos!$C$23</f>
        <v>106.138295404532</v>
      </c>
      <c r="T11" s="5" t="n">
        <f aca="false">T10*Plan_Supuestos!$C$23</f>
        <v>116.963368017395</v>
      </c>
      <c r="U11" s="5" t="n">
        <f aca="false">U10*Plan_Supuestos!$C$23</f>
        <v>128.911664499537</v>
      </c>
      <c r="V11" s="5" t="n">
        <f aca="false">V10*Plan_Supuestos!$C$23</f>
        <v>142.102187980712</v>
      </c>
      <c r="W11" s="5" t="n">
        <f aca="false">W10*Plan_Supuestos!$C$23</f>
        <v>154.708537951827</v>
      </c>
      <c r="X11" s="5" t="n">
        <f aca="false">X10*Plan_Supuestos!$C$23</f>
        <v>168.433238469492</v>
      </c>
      <c r="Y11" s="5" t="n">
        <f aca="false">Y10*Plan_Supuestos!$C$23</f>
        <v>183.375502069281</v>
      </c>
    </row>
    <row r="12" customFormat="false" ht="15" hidden="false" customHeight="false" outlineLevel="0" collapsed="false">
      <c r="A12" s="8" t="s">
        <v>134</v>
      </c>
      <c r="B12" s="18" t="n">
        <f aca="false">B10+B11</f>
        <v>159.230769230769</v>
      </c>
      <c r="C12" s="18" t="n">
        <f aca="false">C10+C11</f>
        <v>175.107728968978</v>
      </c>
      <c r="D12" s="18" t="n">
        <f aca="false">D10+D11</f>
        <v>192.587436093317</v>
      </c>
      <c r="E12" s="18" t="n">
        <f aca="false">E10+E11</f>
        <v>211.834069722769</v>
      </c>
      <c r="F12" s="18" t="n">
        <f aca="false">F10+F11</f>
        <v>233.028923076923</v>
      </c>
      <c r="G12" s="18" t="n">
        <f aca="false">G10+G11</f>
        <v>256.372225189978</v>
      </c>
      <c r="H12" s="18" t="n">
        <f aca="false">H10+H11</f>
        <v>282.085161475955</v>
      </c>
      <c r="I12" s="18" t="n">
        <f aca="false">I10+I11</f>
        <v>310.412115516393</v>
      </c>
      <c r="J12" s="18" t="n">
        <f aca="false">J10+J11</f>
        <v>341.623157051077</v>
      </c>
      <c r="K12" s="18" t="n">
        <f aca="false">K10+K11</f>
        <v>376.016804079253</v>
      </c>
      <c r="L12" s="18" t="n">
        <f aca="false">L10+L11</f>
        <v>413.923090263961</v>
      </c>
      <c r="M12" s="18" t="n">
        <f aca="false">M10+M11</f>
        <v>455.706972521619</v>
      </c>
      <c r="N12" s="18" t="n">
        <f aca="false">N10+N11</f>
        <v>501.77211782534</v>
      </c>
      <c r="O12" s="18" t="n">
        <f aca="false">O10+O11</f>
        <v>552.565112913248</v>
      </c>
      <c r="P12" s="18" t="n">
        <f aca="false">P10+P11</f>
        <v>608.580145840151</v>
      </c>
      <c r="Q12" s="18" t="n">
        <f aca="false">Q10+Q11</f>
        <v>670.364214219834</v>
      </c>
      <c r="R12" s="18" t="n">
        <f aca="false">R10+R11</f>
        <v>738.522921664125</v>
      </c>
      <c r="S12" s="18" t="n">
        <f aca="false">S10+S11</f>
        <v>813.726931434742</v>
      </c>
      <c r="T12" s="18" t="n">
        <f aca="false">T10+T11</f>
        <v>896.71915480003</v>
      </c>
      <c r="U12" s="18" t="n">
        <f aca="false">U10+U11</f>
        <v>988.322761163119</v>
      </c>
      <c r="V12" s="18" t="n">
        <f aca="false">V10+V11</f>
        <v>1089.45010785212</v>
      </c>
      <c r="W12" s="18" t="n">
        <f aca="false">W10+W11</f>
        <v>1186.098790964</v>
      </c>
      <c r="X12" s="18" t="n">
        <f aca="false">X10+X11</f>
        <v>1291.32149493277</v>
      </c>
      <c r="Y12" s="18" t="n">
        <f aca="false">Y10+Y11</f>
        <v>1405.87884919782</v>
      </c>
    </row>
    <row r="13" customFormat="false" ht="15" hidden="false" customHeight="false" outlineLevel="0" collapsed="false">
      <c r="A13" s="4" t="s">
        <v>135</v>
      </c>
      <c r="B13" s="7" t="n">
        <f aca="false">B12/30</f>
        <v>5.30769230769231</v>
      </c>
      <c r="C13" s="7" t="n">
        <f aca="false">C12/30</f>
        <v>5.83692429896594</v>
      </c>
      <c r="D13" s="7" t="n">
        <f aca="false">D12/30</f>
        <v>6.41958120311057</v>
      </c>
      <c r="E13" s="7" t="n">
        <f aca="false">E12/30</f>
        <v>7.06113565742562</v>
      </c>
      <c r="F13" s="7" t="n">
        <f aca="false">F12/30</f>
        <v>7.76763076923077</v>
      </c>
      <c r="G13" s="7" t="n">
        <f aca="false">G12/30</f>
        <v>8.54574083966594</v>
      </c>
      <c r="H13" s="7" t="n">
        <f aca="false">H12/30</f>
        <v>9.40283871586516</v>
      </c>
      <c r="I13" s="7" t="n">
        <f aca="false">I12/30</f>
        <v>10.3470705172131</v>
      </c>
      <c r="J13" s="7" t="n">
        <f aca="false">J12/30</f>
        <v>11.3874385683692</v>
      </c>
      <c r="K13" s="7" t="n">
        <f aca="false">K12/30</f>
        <v>12.5338934693084</v>
      </c>
      <c r="L13" s="7" t="n">
        <f aca="false">L12/30</f>
        <v>13.797436342132</v>
      </c>
      <c r="M13" s="7" t="n">
        <f aca="false">M12/30</f>
        <v>15.1902324173873</v>
      </c>
      <c r="N13" s="7" t="n">
        <f aca="false">N12/30</f>
        <v>16.7257372608447</v>
      </c>
      <c r="O13" s="7" t="n">
        <f aca="false">O12/30</f>
        <v>18.4188370971083</v>
      </c>
      <c r="P13" s="7" t="n">
        <f aca="false">P12/30</f>
        <v>20.2860048613384</v>
      </c>
      <c r="Q13" s="7" t="n">
        <f aca="false">Q12/30</f>
        <v>22.3454738073278</v>
      </c>
      <c r="R13" s="7" t="n">
        <f aca="false">R12/30</f>
        <v>24.6174307221375</v>
      </c>
      <c r="S13" s="7" t="n">
        <f aca="false">S12/30</f>
        <v>27.1242310478247</v>
      </c>
      <c r="T13" s="7" t="n">
        <f aca="false">T12/30</f>
        <v>29.8906384933343</v>
      </c>
      <c r="U13" s="7" t="n">
        <f aca="false">U12/30</f>
        <v>32.9440920387706</v>
      </c>
      <c r="V13" s="7" t="n">
        <f aca="false">V12/30</f>
        <v>36.3150035950708</v>
      </c>
      <c r="W13" s="7" t="n">
        <f aca="false">W12/30</f>
        <v>39.5366263654668</v>
      </c>
      <c r="X13" s="7" t="n">
        <f aca="false">X12/30</f>
        <v>43.0440498310923</v>
      </c>
      <c r="Y13" s="7" t="n">
        <f aca="false">Y12/30</f>
        <v>46.8626283065941</v>
      </c>
    </row>
    <row r="14" customFormat="false" ht="15" hidden="false" customHeight="false" outlineLevel="0" collapsed="false">
      <c r="A14" s="4" t="s">
        <v>136</v>
      </c>
      <c r="B14" s="5" t="n">
        <f aca="false">Plan_Supuestos!$C$24*IF(B$4&gt;12,INDEX($B12:$Y12,B$4-12),Plan_Supuestos!$B$7)</f>
        <v>7.2</v>
      </c>
      <c r="C14" s="5" t="n">
        <f aca="false">Plan_Supuestos!$C$24*IF(C$4&gt;12,INDEX($B12:$Y12,C$4-12),Plan_Supuestos!$B$7)</f>
        <v>7.2</v>
      </c>
      <c r="D14" s="5" t="n">
        <f aca="false">Plan_Supuestos!$C$24*IF(D$4&gt;12,INDEX($B12:$Y12,D$4-12),Plan_Supuestos!$B$7)</f>
        <v>7.2</v>
      </c>
      <c r="E14" s="5" t="n">
        <f aca="false">Plan_Supuestos!$C$24*IF(E$4&gt;12,INDEX($B12:$Y12,E$4-12),Plan_Supuestos!$B$7)</f>
        <v>7.2</v>
      </c>
      <c r="F14" s="5" t="n">
        <f aca="false">Plan_Supuestos!$C$24*IF(F$4&gt;12,INDEX($B12:$Y12,F$4-12),Plan_Supuestos!$B$7)</f>
        <v>7.2</v>
      </c>
      <c r="G14" s="5" t="n">
        <f aca="false">Plan_Supuestos!$C$24*IF(G$4&gt;12,INDEX($B12:$Y12,G$4-12),Plan_Supuestos!$B$7)</f>
        <v>7.2</v>
      </c>
      <c r="H14" s="5" t="n">
        <f aca="false">Plan_Supuestos!$C$24*IF(H$4&gt;12,INDEX($B12:$Y12,H$4-12),Plan_Supuestos!$B$7)</f>
        <v>7.2</v>
      </c>
      <c r="I14" s="5" t="n">
        <f aca="false">Plan_Supuestos!$C$24*IF(I$4&gt;12,INDEX($B12:$Y12,I$4-12),Plan_Supuestos!$B$7)</f>
        <v>7.2</v>
      </c>
      <c r="J14" s="5" t="n">
        <f aca="false">Plan_Supuestos!$C$24*IF(J$4&gt;12,INDEX($B12:$Y12,J$4-12),Plan_Supuestos!$B$7)</f>
        <v>7.2</v>
      </c>
      <c r="K14" s="5" t="n">
        <f aca="false">Plan_Supuestos!$C$24*IF(K$4&gt;12,INDEX($B12:$Y12,K$4-12),Plan_Supuestos!$B$7)</f>
        <v>7.2</v>
      </c>
      <c r="L14" s="5" t="n">
        <f aca="false">Plan_Supuestos!$C$24*IF(L$4&gt;12,INDEX($B12:$Y12,L$4-12),Plan_Supuestos!$B$7)</f>
        <v>7.2</v>
      </c>
      <c r="M14" s="5" t="n">
        <f aca="false">Plan_Supuestos!$C$24*IF(M$4&gt;12,INDEX($B12:$Y12,M$4-12),Plan_Supuestos!$B$7)</f>
        <v>7.2</v>
      </c>
      <c r="N14" s="5" t="n">
        <f aca="false">Plan_Supuestos!$C$24*IF(N$4&gt;12,INDEX($B12:$Y12,N$4-12),Plan_Supuestos!$B$7)</f>
        <v>19.1076923076923</v>
      </c>
      <c r="O14" s="5" t="n">
        <f aca="false">Plan_Supuestos!$C$24*IF(O$4&gt;12,INDEX($B12:$Y12,O$4-12),Plan_Supuestos!$B$7)</f>
        <v>21.0129274762774</v>
      </c>
      <c r="P14" s="5" t="n">
        <f aca="false">Plan_Supuestos!$C$24*IF(P$4&gt;12,INDEX($B12:$Y12,P$4-12),Plan_Supuestos!$B$7)</f>
        <v>23.110492331198</v>
      </c>
      <c r="Q14" s="5" t="n">
        <f aca="false">Plan_Supuestos!$C$24*IF(Q$4&gt;12,INDEX($B12:$Y12,Q$4-12),Plan_Supuestos!$B$7)</f>
        <v>25.4200883667322</v>
      </c>
      <c r="R14" s="5" t="n">
        <f aca="false">Plan_Supuestos!$C$24*IF(R$4&gt;12,INDEX($B12:$Y12,R$4-12),Plan_Supuestos!$B$7)</f>
        <v>27.9634707692308</v>
      </c>
      <c r="S14" s="5" t="n">
        <f aca="false">Plan_Supuestos!$C$24*IF(S$4&gt;12,INDEX($B12:$Y12,S$4-12),Plan_Supuestos!$B$7)</f>
        <v>30.7646670227974</v>
      </c>
      <c r="T14" s="5" t="n">
        <f aca="false">Plan_Supuestos!$C$24*IF(T$4&gt;12,INDEX($B12:$Y12,T$4-12),Plan_Supuestos!$B$7)</f>
        <v>33.8502193771146</v>
      </c>
      <c r="U14" s="5" t="n">
        <f aca="false">Plan_Supuestos!$C$24*IF(U$4&gt;12,INDEX($B12:$Y12,U$4-12),Plan_Supuestos!$B$7)</f>
        <v>37.2494538619672</v>
      </c>
      <c r="V14" s="5" t="n">
        <f aca="false">Plan_Supuestos!$C$24*IF(V$4&gt;12,INDEX($B12:$Y12,V$4-12),Plan_Supuestos!$B$7)</f>
        <v>40.9947788461293</v>
      </c>
      <c r="W14" s="5" t="n">
        <f aca="false">Plan_Supuestos!$C$24*IF(W$4&gt;12,INDEX($B12:$Y12,W$4-12),Plan_Supuestos!$B$7)</f>
        <v>45.1220164895104</v>
      </c>
      <c r="X14" s="5" t="n">
        <f aca="false">Plan_Supuestos!$C$24*IF(X$4&gt;12,INDEX($B12:$Y12,X$4-12),Plan_Supuestos!$B$7)</f>
        <v>49.6707708316753</v>
      </c>
      <c r="Y14" s="5" t="n">
        <f aca="false">Plan_Supuestos!$C$24*IF(Y$4&gt;12,INDEX($B12:$Y12,Y$4-12),Plan_Supuestos!$B$7)</f>
        <v>54.6848367025942</v>
      </c>
    </row>
    <row r="15" customFormat="false" ht="15" hidden="false" customHeight="false" outlineLevel="0" collapsed="false">
      <c r="A15" s="4" t="s">
        <v>137</v>
      </c>
      <c r="B15" s="5" t="n">
        <f aca="false">B12+B14</f>
        <v>166.430769230769</v>
      </c>
      <c r="C15" s="5" t="n">
        <f aca="false">C12+C14</f>
        <v>182.307728968978</v>
      </c>
      <c r="D15" s="5" t="n">
        <f aca="false">D12+D14</f>
        <v>199.787436093317</v>
      </c>
      <c r="E15" s="5" t="n">
        <f aca="false">E12+E14</f>
        <v>219.034069722769</v>
      </c>
      <c r="F15" s="5" t="n">
        <f aca="false">F12+F14</f>
        <v>240.228923076923</v>
      </c>
      <c r="G15" s="5" t="n">
        <f aca="false">G12+G14</f>
        <v>263.572225189978</v>
      </c>
      <c r="H15" s="5" t="n">
        <f aca="false">H12+H14</f>
        <v>289.285161475955</v>
      </c>
      <c r="I15" s="5" t="n">
        <f aca="false">I12+I14</f>
        <v>317.612115516393</v>
      </c>
      <c r="J15" s="5" t="n">
        <f aca="false">J12+J14</f>
        <v>348.823157051077</v>
      </c>
      <c r="K15" s="5" t="n">
        <f aca="false">K12+K14</f>
        <v>383.216804079253</v>
      </c>
      <c r="L15" s="5" t="n">
        <f aca="false">L12+L14</f>
        <v>421.123090263961</v>
      </c>
      <c r="M15" s="5" t="n">
        <f aca="false">M12+M14</f>
        <v>462.906972521619</v>
      </c>
      <c r="N15" s="5" t="n">
        <f aca="false">N12+N14</f>
        <v>520.879810133033</v>
      </c>
      <c r="O15" s="5" t="n">
        <f aca="false">O12+O14</f>
        <v>573.578040389526</v>
      </c>
      <c r="P15" s="5" t="n">
        <f aca="false">P12+P14</f>
        <v>631.690638171349</v>
      </c>
      <c r="Q15" s="5" t="n">
        <f aca="false">Q12+Q14</f>
        <v>695.784302586566</v>
      </c>
      <c r="R15" s="5" t="n">
        <f aca="false">R12+R14</f>
        <v>766.486392433356</v>
      </c>
      <c r="S15" s="5" t="n">
        <f aca="false">S12+S14</f>
        <v>844.49159845754</v>
      </c>
      <c r="T15" s="5" t="n">
        <f aca="false">T12+T14</f>
        <v>930.569374177144</v>
      </c>
      <c r="U15" s="5" t="n">
        <f aca="false">U12+U14</f>
        <v>1025.57221502509</v>
      </c>
      <c r="V15" s="5" t="n">
        <f aca="false">V12+V14</f>
        <v>1130.44488669825</v>
      </c>
      <c r="W15" s="5" t="n">
        <f aca="false">W12+W14</f>
        <v>1231.22080745351</v>
      </c>
      <c r="X15" s="5" t="n">
        <f aca="false">X12+X14</f>
        <v>1340.99226576444</v>
      </c>
      <c r="Y15" s="5" t="n">
        <f aca="false">Y12+Y14</f>
        <v>1460.56368590042</v>
      </c>
    </row>
    <row r="16" customFormat="false" ht="15" hidden="false" customHeight="false" outlineLevel="0" collapsed="false">
      <c r="A16" s="4" t="s">
        <v>138</v>
      </c>
      <c r="B16" s="28" t="n">
        <f aca="false">MIN(1,(B$4-1)/11)</f>
        <v>0</v>
      </c>
      <c r="C16" s="28" t="n">
        <f aca="false">MIN(1,(C$4-1)/11)</f>
        <v>0.0909090909090909</v>
      </c>
      <c r="D16" s="28" t="n">
        <f aca="false">MIN(1,(D$4-1)/11)</f>
        <v>0.181818181818182</v>
      </c>
      <c r="E16" s="28" t="n">
        <f aca="false">MIN(1,(E$4-1)/11)</f>
        <v>0.272727272727273</v>
      </c>
      <c r="F16" s="28" t="n">
        <f aca="false">MIN(1,(F$4-1)/11)</f>
        <v>0.363636363636364</v>
      </c>
      <c r="G16" s="28" t="n">
        <f aca="false">MIN(1,(G$4-1)/11)</f>
        <v>0.454545454545455</v>
      </c>
      <c r="H16" s="28" t="n">
        <f aca="false">MIN(1,(H$4-1)/11)</f>
        <v>0.545454545454545</v>
      </c>
      <c r="I16" s="28" t="n">
        <f aca="false">MIN(1,(I$4-1)/11)</f>
        <v>0.636363636363636</v>
      </c>
      <c r="J16" s="28" t="n">
        <f aca="false">MIN(1,(J$4-1)/11)</f>
        <v>0.727272727272727</v>
      </c>
      <c r="K16" s="28" t="n">
        <f aca="false">MIN(1,(K$4-1)/11)</f>
        <v>0.818181818181818</v>
      </c>
      <c r="L16" s="28" t="n">
        <f aca="false">MIN(1,(L$4-1)/11)</f>
        <v>0.909090909090909</v>
      </c>
      <c r="M16" s="28" t="n">
        <f aca="false">MIN(1,(M$4-1)/11)</f>
        <v>1</v>
      </c>
      <c r="N16" s="28" t="n">
        <f aca="false">MIN(1,(N$4-1)/11)</f>
        <v>1</v>
      </c>
      <c r="O16" s="28" t="n">
        <f aca="false">MIN(1,(O$4-1)/11)</f>
        <v>1</v>
      </c>
      <c r="P16" s="28" t="n">
        <f aca="false">MIN(1,(P$4-1)/11)</f>
        <v>1</v>
      </c>
      <c r="Q16" s="28" t="n">
        <f aca="false">MIN(1,(Q$4-1)/11)</f>
        <v>1</v>
      </c>
      <c r="R16" s="28" t="n">
        <f aca="false">MIN(1,(R$4-1)/11)</f>
        <v>1</v>
      </c>
      <c r="S16" s="28" t="n">
        <f aca="false">MIN(1,(S$4-1)/11)</f>
        <v>1</v>
      </c>
      <c r="T16" s="28" t="n">
        <f aca="false">MIN(1,(T$4-1)/11)</f>
        <v>1</v>
      </c>
      <c r="U16" s="28" t="n">
        <f aca="false">MIN(1,(U$4-1)/11)</f>
        <v>1</v>
      </c>
      <c r="V16" s="28" t="n">
        <f aca="false">MIN(1,(V$4-1)/11)</f>
        <v>1</v>
      </c>
      <c r="W16" s="28" t="n">
        <f aca="false">MIN(1,(W$4-1)/11)</f>
        <v>1</v>
      </c>
      <c r="X16" s="28" t="n">
        <f aca="false">MIN(1,(X$4-1)/11)</f>
        <v>1</v>
      </c>
      <c r="Y16" s="28" t="n">
        <f aca="false">MIN(1,(Y$4-1)/11)</f>
        <v>1</v>
      </c>
    </row>
    <row r="17" customFormat="false" ht="15" hidden="false" customHeight="false" outlineLevel="0" collapsed="false">
      <c r="A17" s="4" t="s">
        <v>139</v>
      </c>
      <c r="B17" s="28" t="n">
        <f aca="false">1-SUM(B18:B22)</f>
        <v>0.87</v>
      </c>
      <c r="C17" s="28" t="n">
        <f aca="false">1-SUM(C18:C22)</f>
        <v>0.864545454545455</v>
      </c>
      <c r="D17" s="28" t="n">
        <f aca="false">1-SUM(D18:D22)</f>
        <v>0.859090909090909</v>
      </c>
      <c r="E17" s="28" t="n">
        <f aca="false">1-SUM(E18:E22)</f>
        <v>0.853636363636364</v>
      </c>
      <c r="F17" s="28" t="n">
        <f aca="false">1-SUM(F18:F22)</f>
        <v>0.848181818181818</v>
      </c>
      <c r="G17" s="28" t="n">
        <f aca="false">1-SUM(G18:G22)</f>
        <v>0.842727272727273</v>
      </c>
      <c r="H17" s="28" t="n">
        <f aca="false">1-SUM(H18:H22)</f>
        <v>0.837272727272727</v>
      </c>
      <c r="I17" s="28" t="n">
        <f aca="false">1-SUM(I18:I22)</f>
        <v>0.831818181818182</v>
      </c>
      <c r="J17" s="28" t="n">
        <f aca="false">1-SUM(J18:J22)</f>
        <v>0.826363636363636</v>
      </c>
      <c r="K17" s="28" t="n">
        <f aca="false">1-SUM(K18:K22)</f>
        <v>0.820909090909091</v>
      </c>
      <c r="L17" s="28" t="n">
        <f aca="false">1-SUM(L18:L22)</f>
        <v>0.815454545454545</v>
      </c>
      <c r="M17" s="28" t="n">
        <f aca="false">1-SUM(M18:M22)</f>
        <v>0.81</v>
      </c>
      <c r="N17" s="28" t="n">
        <f aca="false">1-SUM(N18:N22)</f>
        <v>0.81</v>
      </c>
      <c r="O17" s="28" t="n">
        <f aca="false">1-SUM(O18:O22)</f>
        <v>0.81</v>
      </c>
      <c r="P17" s="28" t="n">
        <f aca="false">1-SUM(P18:P22)</f>
        <v>0.81</v>
      </c>
      <c r="Q17" s="28" t="n">
        <f aca="false">1-SUM(Q18:Q22)</f>
        <v>0.81</v>
      </c>
      <c r="R17" s="28" t="n">
        <f aca="false">1-SUM(R18:R22)</f>
        <v>0.81</v>
      </c>
      <c r="S17" s="28" t="n">
        <f aca="false">1-SUM(S18:S22)</f>
        <v>0.81</v>
      </c>
      <c r="T17" s="28" t="n">
        <f aca="false">1-SUM(T18:T22)</f>
        <v>0.81</v>
      </c>
      <c r="U17" s="28" t="n">
        <f aca="false">1-SUM(U18:U22)</f>
        <v>0.81</v>
      </c>
      <c r="V17" s="28" t="n">
        <f aca="false">1-SUM(V18:V22)</f>
        <v>0.81</v>
      </c>
      <c r="W17" s="28" t="n">
        <f aca="false">1-SUM(W18:W22)</f>
        <v>0.81</v>
      </c>
      <c r="X17" s="28" t="n">
        <f aca="false">1-SUM(X18:X22)</f>
        <v>0.81</v>
      </c>
      <c r="Y17" s="28" t="n">
        <f aca="false">1-SUM(Y18:Y22)</f>
        <v>0.81</v>
      </c>
    </row>
    <row r="18" customFormat="false" ht="15" hidden="false" customHeight="false" outlineLevel="0" collapsed="false">
      <c r="A18" s="4" t="s">
        <v>140</v>
      </c>
      <c r="B18" s="28" t="n">
        <f aca="false">Plan_Supuestos!$G$31+(Plan_Supuestos!$H$31-Plan_Supuestos!$G$31)*B16</f>
        <v>0.08</v>
      </c>
      <c r="C18" s="28" t="n">
        <f aca="false">Plan_Supuestos!$G$31+(Plan_Supuestos!$H$31-Plan_Supuestos!$G$31)*C16</f>
        <v>0.0772727272727273</v>
      </c>
      <c r="D18" s="28" t="n">
        <f aca="false">Plan_Supuestos!$G$31+(Plan_Supuestos!$H$31-Plan_Supuestos!$G$31)*D16</f>
        <v>0.0745454545454546</v>
      </c>
      <c r="E18" s="28" t="n">
        <f aca="false">Plan_Supuestos!$G$31+(Plan_Supuestos!$H$31-Plan_Supuestos!$G$31)*E16</f>
        <v>0.0718181818181818</v>
      </c>
      <c r="F18" s="28" t="n">
        <f aca="false">Plan_Supuestos!$G$31+(Plan_Supuestos!$H$31-Plan_Supuestos!$G$31)*F16</f>
        <v>0.0690909090909091</v>
      </c>
      <c r="G18" s="28" t="n">
        <f aca="false">Plan_Supuestos!$G$31+(Plan_Supuestos!$H$31-Plan_Supuestos!$G$31)*G16</f>
        <v>0.0663636363636364</v>
      </c>
      <c r="H18" s="28" t="n">
        <f aca="false">Plan_Supuestos!$G$31+(Plan_Supuestos!$H$31-Plan_Supuestos!$G$31)*H16</f>
        <v>0.0636363636363636</v>
      </c>
      <c r="I18" s="28" t="n">
        <f aca="false">Plan_Supuestos!$G$31+(Plan_Supuestos!$H$31-Plan_Supuestos!$G$31)*I16</f>
        <v>0.0609090909090909</v>
      </c>
      <c r="J18" s="28" t="n">
        <f aca="false">Plan_Supuestos!$G$31+(Plan_Supuestos!$H$31-Plan_Supuestos!$G$31)*J16</f>
        <v>0.0581818181818182</v>
      </c>
      <c r="K18" s="28" t="n">
        <f aca="false">Plan_Supuestos!$G$31+(Plan_Supuestos!$H$31-Plan_Supuestos!$G$31)*K16</f>
        <v>0.0554545454545455</v>
      </c>
      <c r="L18" s="28" t="n">
        <f aca="false">Plan_Supuestos!$G$31+(Plan_Supuestos!$H$31-Plan_Supuestos!$G$31)*L16</f>
        <v>0.0527272727272727</v>
      </c>
      <c r="M18" s="28" t="n">
        <f aca="false">Plan_Supuestos!$G$31+(Plan_Supuestos!$H$31-Plan_Supuestos!$G$31)*M16</f>
        <v>0.05</v>
      </c>
      <c r="N18" s="28" t="n">
        <f aca="false">Plan_Supuestos!$G$31+(Plan_Supuestos!$H$31-Plan_Supuestos!$G$31)*N16</f>
        <v>0.05</v>
      </c>
      <c r="O18" s="28" t="n">
        <f aca="false">Plan_Supuestos!$G$31+(Plan_Supuestos!$H$31-Plan_Supuestos!$G$31)*O16</f>
        <v>0.05</v>
      </c>
      <c r="P18" s="28" t="n">
        <f aca="false">Plan_Supuestos!$G$31+(Plan_Supuestos!$H$31-Plan_Supuestos!$G$31)*P16</f>
        <v>0.05</v>
      </c>
      <c r="Q18" s="28" t="n">
        <f aca="false">Plan_Supuestos!$G$31+(Plan_Supuestos!$H$31-Plan_Supuestos!$G$31)*Q16</f>
        <v>0.05</v>
      </c>
      <c r="R18" s="28" t="n">
        <f aca="false">Plan_Supuestos!$G$31+(Plan_Supuestos!$H$31-Plan_Supuestos!$G$31)*R16</f>
        <v>0.05</v>
      </c>
      <c r="S18" s="28" t="n">
        <f aca="false">Plan_Supuestos!$G$31+(Plan_Supuestos!$H$31-Plan_Supuestos!$G$31)*S16</f>
        <v>0.05</v>
      </c>
      <c r="T18" s="28" t="n">
        <f aca="false">Plan_Supuestos!$G$31+(Plan_Supuestos!$H$31-Plan_Supuestos!$G$31)*T16</f>
        <v>0.05</v>
      </c>
      <c r="U18" s="28" t="n">
        <f aca="false">Plan_Supuestos!$G$31+(Plan_Supuestos!$H$31-Plan_Supuestos!$G$31)*U16</f>
        <v>0.05</v>
      </c>
      <c r="V18" s="28" t="n">
        <f aca="false">Plan_Supuestos!$G$31+(Plan_Supuestos!$H$31-Plan_Supuestos!$G$31)*V16</f>
        <v>0.05</v>
      </c>
      <c r="W18" s="28" t="n">
        <f aca="false">Plan_Supuestos!$G$31+(Plan_Supuestos!$H$31-Plan_Supuestos!$G$31)*W16</f>
        <v>0.05</v>
      </c>
      <c r="X18" s="28" t="n">
        <f aca="false">Plan_Supuestos!$G$31+(Plan_Supuestos!$H$31-Plan_Supuestos!$G$31)*X16</f>
        <v>0.05</v>
      </c>
      <c r="Y18" s="28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141</v>
      </c>
      <c r="B19" s="28" t="n">
        <f aca="false">Plan_Supuestos!$G$32+(Plan_Supuestos!$H$32-Plan_Supuestos!$G$32)*B16</f>
        <v>0.03</v>
      </c>
      <c r="C19" s="28" t="n">
        <f aca="false">Plan_Supuestos!$G$32+(Plan_Supuestos!$H$32-Plan_Supuestos!$G$32)*C16</f>
        <v>0.0327272727272727</v>
      </c>
      <c r="D19" s="28" t="n">
        <f aca="false">Plan_Supuestos!$G$32+(Plan_Supuestos!$H$32-Plan_Supuestos!$G$32)*D16</f>
        <v>0.0354545454545455</v>
      </c>
      <c r="E19" s="28" t="n">
        <f aca="false">Plan_Supuestos!$G$32+(Plan_Supuestos!$H$32-Plan_Supuestos!$G$32)*E16</f>
        <v>0.0381818181818182</v>
      </c>
      <c r="F19" s="28" t="n">
        <f aca="false">Plan_Supuestos!$G$32+(Plan_Supuestos!$H$32-Plan_Supuestos!$G$32)*F16</f>
        <v>0.0409090909090909</v>
      </c>
      <c r="G19" s="28" t="n">
        <f aca="false">Plan_Supuestos!$G$32+(Plan_Supuestos!$H$32-Plan_Supuestos!$G$32)*G16</f>
        <v>0.0436363636363636</v>
      </c>
      <c r="H19" s="28" t="n">
        <f aca="false">Plan_Supuestos!$G$32+(Plan_Supuestos!$H$32-Plan_Supuestos!$G$32)*H16</f>
        <v>0.0463636363636364</v>
      </c>
      <c r="I19" s="28" t="n">
        <f aca="false">Plan_Supuestos!$G$32+(Plan_Supuestos!$H$32-Plan_Supuestos!$G$32)*I16</f>
        <v>0.0490909090909091</v>
      </c>
      <c r="J19" s="28" t="n">
        <f aca="false">Plan_Supuestos!$G$32+(Plan_Supuestos!$H$32-Plan_Supuestos!$G$32)*J16</f>
        <v>0.0518181818181818</v>
      </c>
      <c r="K19" s="28" t="n">
        <f aca="false">Plan_Supuestos!$G$32+(Plan_Supuestos!$H$32-Plan_Supuestos!$G$32)*K16</f>
        <v>0.0545454545454546</v>
      </c>
      <c r="L19" s="28" t="n">
        <f aca="false">Plan_Supuestos!$G$32+(Plan_Supuestos!$H$32-Plan_Supuestos!$G$32)*L16</f>
        <v>0.0572727272727273</v>
      </c>
      <c r="M19" s="28" t="n">
        <f aca="false">Plan_Supuestos!$G$32+(Plan_Supuestos!$H$32-Plan_Supuestos!$G$32)*M16</f>
        <v>0.06</v>
      </c>
      <c r="N19" s="28" t="n">
        <f aca="false">Plan_Supuestos!$G$32+(Plan_Supuestos!$H$32-Plan_Supuestos!$G$32)*N16</f>
        <v>0.06</v>
      </c>
      <c r="O19" s="28" t="n">
        <f aca="false">Plan_Supuestos!$G$32+(Plan_Supuestos!$H$32-Plan_Supuestos!$G$32)*O16</f>
        <v>0.06</v>
      </c>
      <c r="P19" s="28" t="n">
        <f aca="false">Plan_Supuestos!$G$32+(Plan_Supuestos!$H$32-Plan_Supuestos!$G$32)*P16</f>
        <v>0.06</v>
      </c>
      <c r="Q19" s="28" t="n">
        <f aca="false">Plan_Supuestos!$G$32+(Plan_Supuestos!$H$32-Plan_Supuestos!$G$32)*Q16</f>
        <v>0.06</v>
      </c>
      <c r="R19" s="28" t="n">
        <f aca="false">Plan_Supuestos!$G$32+(Plan_Supuestos!$H$32-Plan_Supuestos!$G$32)*R16</f>
        <v>0.06</v>
      </c>
      <c r="S19" s="28" t="n">
        <f aca="false">Plan_Supuestos!$G$32+(Plan_Supuestos!$H$32-Plan_Supuestos!$G$32)*S16</f>
        <v>0.06</v>
      </c>
      <c r="T19" s="28" t="n">
        <f aca="false">Plan_Supuestos!$G$32+(Plan_Supuestos!$H$32-Plan_Supuestos!$G$32)*T16</f>
        <v>0.06</v>
      </c>
      <c r="U19" s="28" t="n">
        <f aca="false">Plan_Supuestos!$G$32+(Plan_Supuestos!$H$32-Plan_Supuestos!$G$32)*U16</f>
        <v>0.06</v>
      </c>
      <c r="V19" s="28" t="n">
        <f aca="false">Plan_Supuestos!$G$32+(Plan_Supuestos!$H$32-Plan_Supuestos!$G$32)*V16</f>
        <v>0.06</v>
      </c>
      <c r="W19" s="28" t="n">
        <f aca="false">Plan_Supuestos!$G$32+(Plan_Supuestos!$H$32-Plan_Supuestos!$G$32)*W16</f>
        <v>0.06</v>
      </c>
      <c r="X19" s="28" t="n">
        <f aca="false">Plan_Supuestos!$G$32+(Plan_Supuestos!$H$32-Plan_Supuestos!$G$32)*X16</f>
        <v>0.06</v>
      </c>
      <c r="Y19" s="28" t="n">
        <f aca="false">Plan_Supuestos!$G$32+(Plan_Supuestos!$H$32-Plan_Supuestos!$G$32)*Y16</f>
        <v>0.06</v>
      </c>
    </row>
    <row r="20" customFormat="false" ht="15" hidden="false" customHeight="false" outlineLevel="0" collapsed="false">
      <c r="A20" s="4" t="s">
        <v>142</v>
      </c>
      <c r="B20" s="28" t="n">
        <f aca="false">Plan_Supuestos!$G$33+(Plan_Supuestos!$H$33-Plan_Supuestos!$G$33)*B16</f>
        <v>0.02</v>
      </c>
      <c r="C20" s="28" t="n">
        <f aca="false">Plan_Supuestos!$G$33+(Plan_Supuestos!$H$33-Plan_Supuestos!$G$33)*C16</f>
        <v>0.02</v>
      </c>
      <c r="D20" s="28" t="n">
        <f aca="false">Plan_Supuestos!$G$33+(Plan_Supuestos!$H$33-Plan_Supuestos!$G$33)*D16</f>
        <v>0.02</v>
      </c>
      <c r="E20" s="28" t="n">
        <f aca="false">Plan_Supuestos!$G$33+(Plan_Supuestos!$H$33-Plan_Supuestos!$G$33)*E16</f>
        <v>0.02</v>
      </c>
      <c r="F20" s="28" t="n">
        <f aca="false">Plan_Supuestos!$G$33+(Plan_Supuestos!$H$33-Plan_Supuestos!$G$33)*F16</f>
        <v>0.02</v>
      </c>
      <c r="G20" s="28" t="n">
        <f aca="false">Plan_Supuestos!$G$33+(Plan_Supuestos!$H$33-Plan_Supuestos!$G$33)*G16</f>
        <v>0.02</v>
      </c>
      <c r="H20" s="28" t="n">
        <f aca="false">Plan_Supuestos!$G$33+(Plan_Supuestos!$H$33-Plan_Supuestos!$G$33)*H16</f>
        <v>0.02</v>
      </c>
      <c r="I20" s="28" t="n">
        <f aca="false">Plan_Supuestos!$G$33+(Plan_Supuestos!$H$33-Plan_Supuestos!$G$33)*I16</f>
        <v>0.02</v>
      </c>
      <c r="J20" s="28" t="n">
        <f aca="false">Plan_Supuestos!$G$33+(Plan_Supuestos!$H$33-Plan_Supuestos!$G$33)*J16</f>
        <v>0.02</v>
      </c>
      <c r="K20" s="28" t="n">
        <f aca="false">Plan_Supuestos!$G$33+(Plan_Supuestos!$H$33-Plan_Supuestos!$G$33)*K16</f>
        <v>0.02</v>
      </c>
      <c r="L20" s="28" t="n">
        <f aca="false">Plan_Supuestos!$G$33+(Plan_Supuestos!$H$33-Plan_Supuestos!$G$33)*L16</f>
        <v>0.02</v>
      </c>
      <c r="M20" s="28" t="n">
        <f aca="false">Plan_Supuestos!$G$33+(Plan_Supuestos!$H$33-Plan_Supuestos!$G$33)*M16</f>
        <v>0.02</v>
      </c>
      <c r="N20" s="28" t="n">
        <f aca="false">Plan_Supuestos!$G$33+(Plan_Supuestos!$H$33-Plan_Supuestos!$G$33)*N16</f>
        <v>0.02</v>
      </c>
      <c r="O20" s="28" t="n">
        <f aca="false">Plan_Supuestos!$G$33+(Plan_Supuestos!$H$33-Plan_Supuestos!$G$33)*O16</f>
        <v>0.02</v>
      </c>
      <c r="P20" s="28" t="n">
        <f aca="false">Plan_Supuestos!$G$33+(Plan_Supuestos!$H$33-Plan_Supuestos!$G$33)*P16</f>
        <v>0.02</v>
      </c>
      <c r="Q20" s="28" t="n">
        <f aca="false">Plan_Supuestos!$G$33+(Plan_Supuestos!$H$33-Plan_Supuestos!$G$33)*Q16</f>
        <v>0.02</v>
      </c>
      <c r="R20" s="28" t="n">
        <f aca="false">Plan_Supuestos!$G$33+(Plan_Supuestos!$H$33-Plan_Supuestos!$G$33)*R16</f>
        <v>0.02</v>
      </c>
      <c r="S20" s="28" t="n">
        <f aca="false">Plan_Supuestos!$G$33+(Plan_Supuestos!$H$33-Plan_Supuestos!$G$33)*S16</f>
        <v>0.02</v>
      </c>
      <c r="T20" s="28" t="n">
        <f aca="false">Plan_Supuestos!$G$33+(Plan_Supuestos!$H$33-Plan_Supuestos!$G$33)*T16</f>
        <v>0.02</v>
      </c>
      <c r="U20" s="28" t="n">
        <f aca="false">Plan_Supuestos!$G$33+(Plan_Supuestos!$H$33-Plan_Supuestos!$G$33)*U16</f>
        <v>0.02</v>
      </c>
      <c r="V20" s="28" t="n">
        <f aca="false">Plan_Supuestos!$G$33+(Plan_Supuestos!$H$33-Plan_Supuestos!$G$33)*V16</f>
        <v>0.02</v>
      </c>
      <c r="W20" s="28" t="n">
        <f aca="false">Plan_Supuestos!$G$33+(Plan_Supuestos!$H$33-Plan_Supuestos!$G$33)*W16</f>
        <v>0.02</v>
      </c>
      <c r="X20" s="28" t="n">
        <f aca="false">Plan_Supuestos!$G$33+(Plan_Supuestos!$H$33-Plan_Supuestos!$G$33)*X16</f>
        <v>0.02</v>
      </c>
      <c r="Y20" s="28" t="n">
        <f aca="false">Plan_Supuestos!$G$33+(Plan_Supuestos!$H$33-Plan_Supuestos!$G$33)*Y16</f>
        <v>0.02</v>
      </c>
    </row>
    <row r="21" customFormat="false" ht="15" hidden="false" customHeight="false" outlineLevel="0" collapsed="false">
      <c r="A21" s="4" t="s">
        <v>143</v>
      </c>
      <c r="B21" s="28" t="n">
        <f aca="false">Plan_Supuestos!$G$34+(Plan_Supuestos!$C$25-Plan_Supuestos!$G$34)*B16</f>
        <v>0</v>
      </c>
      <c r="C21" s="28" t="n">
        <f aca="false">Plan_Supuestos!$G$34+(Plan_Supuestos!$C$25-Plan_Supuestos!$G$34)*C16</f>
        <v>0.00545454545454545</v>
      </c>
      <c r="D21" s="28" t="n">
        <f aca="false">Plan_Supuestos!$G$34+(Plan_Supuestos!$C$25-Plan_Supuestos!$G$34)*D16</f>
        <v>0.0109090909090909</v>
      </c>
      <c r="E21" s="28" t="n">
        <f aca="false">Plan_Supuestos!$G$34+(Plan_Supuestos!$C$25-Plan_Supuestos!$G$34)*E16</f>
        <v>0.0163636363636364</v>
      </c>
      <c r="F21" s="28" t="n">
        <f aca="false">Plan_Supuestos!$G$34+(Plan_Supuestos!$C$25-Plan_Supuestos!$G$34)*F16</f>
        <v>0.0218181818181818</v>
      </c>
      <c r="G21" s="28" t="n">
        <f aca="false">Plan_Supuestos!$G$34+(Plan_Supuestos!$C$25-Plan_Supuestos!$G$34)*G16</f>
        <v>0.0272727272727273</v>
      </c>
      <c r="H21" s="28" t="n">
        <f aca="false">Plan_Supuestos!$G$34+(Plan_Supuestos!$C$25-Plan_Supuestos!$G$34)*H16</f>
        <v>0.0327272727272727</v>
      </c>
      <c r="I21" s="28" t="n">
        <f aca="false">Plan_Supuestos!$G$34+(Plan_Supuestos!$C$25-Plan_Supuestos!$G$34)*I16</f>
        <v>0.0381818181818182</v>
      </c>
      <c r="J21" s="28" t="n">
        <f aca="false">Plan_Supuestos!$G$34+(Plan_Supuestos!$C$25-Plan_Supuestos!$G$34)*J16</f>
        <v>0.0436363636363636</v>
      </c>
      <c r="K21" s="28" t="n">
        <f aca="false">Plan_Supuestos!$G$34+(Plan_Supuestos!$C$25-Plan_Supuestos!$G$34)*K16</f>
        <v>0.0490909090909091</v>
      </c>
      <c r="L21" s="28" t="n">
        <f aca="false">Plan_Supuestos!$G$34+(Plan_Supuestos!$C$25-Plan_Supuestos!$G$34)*L16</f>
        <v>0.0545454545454545</v>
      </c>
      <c r="M21" s="28" t="n">
        <f aca="false">Plan_Supuestos!$G$34+(Plan_Supuestos!$C$25-Plan_Supuestos!$G$34)*M16</f>
        <v>0.06</v>
      </c>
      <c r="N21" s="28" t="n">
        <f aca="false">Plan_Supuestos!$G$34+(Plan_Supuestos!$C$25-Plan_Supuestos!$G$34)*N16</f>
        <v>0.06</v>
      </c>
      <c r="O21" s="28" t="n">
        <f aca="false">Plan_Supuestos!$G$34+(Plan_Supuestos!$C$25-Plan_Supuestos!$G$34)*O16</f>
        <v>0.06</v>
      </c>
      <c r="P21" s="28" t="n">
        <f aca="false">Plan_Supuestos!$G$34+(Plan_Supuestos!$C$25-Plan_Supuestos!$G$34)*P16</f>
        <v>0.06</v>
      </c>
      <c r="Q21" s="28" t="n">
        <f aca="false">Plan_Supuestos!$G$34+(Plan_Supuestos!$C$25-Plan_Supuestos!$G$34)*Q16</f>
        <v>0.06</v>
      </c>
      <c r="R21" s="28" t="n">
        <f aca="false">Plan_Supuestos!$G$34+(Plan_Supuestos!$C$25-Plan_Supuestos!$G$34)*R16</f>
        <v>0.06</v>
      </c>
      <c r="S21" s="28" t="n">
        <f aca="false">Plan_Supuestos!$G$34+(Plan_Supuestos!$C$25-Plan_Supuestos!$G$34)*S16</f>
        <v>0.06</v>
      </c>
      <c r="T21" s="28" t="n">
        <f aca="false">Plan_Supuestos!$G$34+(Plan_Supuestos!$C$25-Plan_Supuestos!$G$34)*T16</f>
        <v>0.06</v>
      </c>
      <c r="U21" s="28" t="n">
        <f aca="false">Plan_Supuestos!$G$34+(Plan_Supuestos!$C$25-Plan_Supuestos!$G$34)*U16</f>
        <v>0.06</v>
      </c>
      <c r="V21" s="28" t="n">
        <f aca="false">Plan_Supuestos!$G$34+(Plan_Supuestos!$C$25-Plan_Supuestos!$G$34)*V16</f>
        <v>0.06</v>
      </c>
      <c r="W21" s="28" t="n">
        <f aca="false">Plan_Supuestos!$G$34+(Plan_Supuestos!$C$25-Plan_Supuestos!$G$34)*W16</f>
        <v>0.06</v>
      </c>
      <c r="X21" s="28" t="n">
        <f aca="false">Plan_Supuestos!$G$34+(Plan_Supuestos!$C$25-Plan_Supuestos!$G$34)*X16</f>
        <v>0.06</v>
      </c>
      <c r="Y21" s="28" t="n">
        <f aca="false">Plan_Supuestos!$G$34+(Plan_Supuestos!$C$25-Plan_Supuestos!$G$34)*Y16</f>
        <v>0.06</v>
      </c>
    </row>
    <row r="22" customFormat="false" ht="15" hidden="false" customHeight="false" outlineLevel="0" collapsed="false">
      <c r="A22" s="4" t="s">
        <v>144</v>
      </c>
      <c r="B22" s="28" t="n">
        <f aca="false">Plan_Supuestos!$G$35+(Plan_Supuestos!$H$35-Plan_Supuestos!$G$35)*B16</f>
        <v>0</v>
      </c>
      <c r="C22" s="28" t="n">
        <f aca="false">Plan_Supuestos!$G$35+(Plan_Supuestos!$H$35-Plan_Supuestos!$G$35)*C16</f>
        <v>0</v>
      </c>
      <c r="D22" s="28" t="n">
        <f aca="false">Plan_Supuestos!$G$35+(Plan_Supuestos!$H$35-Plan_Supuestos!$G$35)*D16</f>
        <v>0</v>
      </c>
      <c r="E22" s="28" t="n">
        <f aca="false">Plan_Supuestos!$G$35+(Plan_Supuestos!$H$35-Plan_Supuestos!$G$35)*E16</f>
        <v>0</v>
      </c>
      <c r="F22" s="28" t="n">
        <f aca="false">Plan_Supuestos!$G$35+(Plan_Supuestos!$H$35-Plan_Supuestos!$G$35)*F16</f>
        <v>0</v>
      </c>
      <c r="G22" s="28" t="n">
        <f aca="false">Plan_Supuestos!$G$35+(Plan_Supuestos!$H$35-Plan_Supuestos!$G$35)*G16</f>
        <v>0</v>
      </c>
      <c r="H22" s="28" t="n">
        <f aca="false">Plan_Supuestos!$G$35+(Plan_Supuestos!$H$35-Plan_Supuestos!$G$35)*H16</f>
        <v>0</v>
      </c>
      <c r="I22" s="28" t="n">
        <f aca="false">Plan_Supuestos!$G$35+(Plan_Supuestos!$H$35-Plan_Supuestos!$G$35)*I16</f>
        <v>0</v>
      </c>
      <c r="J22" s="28" t="n">
        <f aca="false">Plan_Supuestos!$G$35+(Plan_Supuestos!$H$35-Plan_Supuestos!$G$35)*J16</f>
        <v>0</v>
      </c>
      <c r="K22" s="28" t="n">
        <f aca="false">Plan_Supuestos!$G$35+(Plan_Supuestos!$H$35-Plan_Supuestos!$G$35)*K16</f>
        <v>0</v>
      </c>
      <c r="L22" s="28" t="n">
        <f aca="false">Plan_Supuestos!$G$35+(Plan_Supuestos!$H$35-Plan_Supuestos!$G$35)*L16</f>
        <v>0</v>
      </c>
      <c r="M22" s="28" t="n">
        <f aca="false">Plan_Supuestos!$G$35+(Plan_Supuestos!$H$35-Plan_Supuestos!$G$35)*M16</f>
        <v>0</v>
      </c>
      <c r="N22" s="28" t="n">
        <f aca="false">Plan_Supuestos!$G$35+(Plan_Supuestos!$H$35-Plan_Supuestos!$G$35)*N16</f>
        <v>0</v>
      </c>
      <c r="O22" s="28" t="n">
        <f aca="false">Plan_Supuestos!$G$35+(Plan_Supuestos!$H$35-Plan_Supuestos!$G$35)*O16</f>
        <v>0</v>
      </c>
      <c r="P22" s="28" t="n">
        <f aca="false">Plan_Supuestos!$G$35+(Plan_Supuestos!$H$35-Plan_Supuestos!$G$35)*P16</f>
        <v>0</v>
      </c>
      <c r="Q22" s="28" t="n">
        <f aca="false">Plan_Supuestos!$G$35+(Plan_Supuestos!$H$35-Plan_Supuestos!$G$35)*Q16</f>
        <v>0</v>
      </c>
      <c r="R22" s="28" t="n">
        <f aca="false">Plan_Supuestos!$G$35+(Plan_Supuestos!$H$35-Plan_Supuestos!$G$35)*R16</f>
        <v>0</v>
      </c>
      <c r="S22" s="28" t="n">
        <f aca="false">Plan_Supuestos!$G$35+(Plan_Supuestos!$H$35-Plan_Supuestos!$G$35)*S16</f>
        <v>0</v>
      </c>
      <c r="T22" s="28" t="n">
        <f aca="false">Plan_Supuestos!$G$35+(Plan_Supuestos!$H$35-Plan_Supuestos!$G$35)*T16</f>
        <v>0</v>
      </c>
      <c r="U22" s="28" t="n">
        <f aca="false">Plan_Supuestos!$G$35+(Plan_Supuestos!$H$35-Plan_Supuestos!$G$35)*U16</f>
        <v>0</v>
      </c>
      <c r="V22" s="28" t="n">
        <f aca="false">Plan_Supuestos!$G$35+(Plan_Supuestos!$H$35-Plan_Supuestos!$G$35)*V16</f>
        <v>0</v>
      </c>
      <c r="W22" s="28" t="n">
        <f aca="false">Plan_Supuestos!$G$35+(Plan_Supuestos!$H$35-Plan_Supuestos!$G$35)*W16</f>
        <v>0</v>
      </c>
      <c r="X22" s="28" t="n">
        <f aca="false">Plan_Supuestos!$G$35+(Plan_Supuestos!$H$35-Plan_Supuestos!$G$35)*X16</f>
        <v>0</v>
      </c>
      <c r="Y22" s="28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145</v>
      </c>
      <c r="B23" s="6" t="n">
        <f aca="false">SUMPRODUCT(B17:B22,Plan_Supuestos!$D$30:$D$35)+(Plan_Supuestos!$B$43+(Plan_Supuestos!$B$44-Plan_Supuestos!$B$43)*B16)*Plan_Supuestos!$B$45</f>
        <v>202.244271604837</v>
      </c>
      <c r="C23" s="6" t="n">
        <f aca="false">SUMPRODUCT(C17:C22,Plan_Supuestos!$D$30:$D$35)+(Plan_Supuestos!$B$43+(Plan_Supuestos!$B$44-Plan_Supuestos!$B$43)*C16)*Plan_Supuestos!$B$45</f>
        <v>206.4938372082</v>
      </c>
      <c r="D23" s="6" t="n">
        <f aca="false">SUMPRODUCT(D17:D22,Plan_Supuestos!$D$30:$D$35)+(Plan_Supuestos!$B$43+(Plan_Supuestos!$B$44-Plan_Supuestos!$B$43)*D16)*Plan_Supuestos!$B$45</f>
        <v>210.743402811564</v>
      </c>
      <c r="E23" s="6" t="n">
        <f aca="false">SUMPRODUCT(E17:E22,Plan_Supuestos!$D$30:$D$35)+(Plan_Supuestos!$B$43+(Plan_Supuestos!$B$44-Plan_Supuestos!$B$43)*E16)*Plan_Supuestos!$B$45</f>
        <v>214.992968414928</v>
      </c>
      <c r="F23" s="6" t="n">
        <f aca="false">SUMPRODUCT(F17:F22,Plan_Supuestos!$D$30:$D$35)+(Plan_Supuestos!$B$43+(Plan_Supuestos!$B$44-Plan_Supuestos!$B$43)*F16)*Plan_Supuestos!$B$45</f>
        <v>219.242534018292</v>
      </c>
      <c r="G23" s="6" t="n">
        <f aca="false">SUMPRODUCT(G17:G22,Plan_Supuestos!$D$30:$D$35)+(Plan_Supuestos!$B$43+(Plan_Supuestos!$B$44-Plan_Supuestos!$B$43)*G16)*Plan_Supuestos!$B$45</f>
        <v>223.492099621656</v>
      </c>
      <c r="H23" s="6" t="n">
        <f aca="false">SUMPRODUCT(H17:H22,Plan_Supuestos!$D$30:$D$35)+(Plan_Supuestos!$B$43+(Plan_Supuestos!$B$44-Plan_Supuestos!$B$43)*H16)*Plan_Supuestos!$B$45</f>
        <v>227.741665225019</v>
      </c>
      <c r="I23" s="6" t="n">
        <f aca="false">SUMPRODUCT(I17:I22,Plan_Supuestos!$D$30:$D$35)+(Plan_Supuestos!$B$43+(Plan_Supuestos!$B$44-Plan_Supuestos!$B$43)*I16)*Plan_Supuestos!$B$45</f>
        <v>231.991230828383</v>
      </c>
      <c r="J23" s="6" t="n">
        <f aca="false">SUMPRODUCT(J17:J22,Plan_Supuestos!$D$30:$D$35)+(Plan_Supuestos!$B$43+(Plan_Supuestos!$B$44-Plan_Supuestos!$B$43)*J16)*Plan_Supuestos!$B$45</f>
        <v>236.240796431747</v>
      </c>
      <c r="K23" s="6" t="n">
        <f aca="false">SUMPRODUCT(K17:K22,Plan_Supuestos!$D$30:$D$35)+(Plan_Supuestos!$B$43+(Plan_Supuestos!$B$44-Plan_Supuestos!$B$43)*K16)*Plan_Supuestos!$B$45</f>
        <v>240.490362035111</v>
      </c>
      <c r="L23" s="6" t="n">
        <f aca="false">SUMPRODUCT(L17:L22,Plan_Supuestos!$D$30:$D$35)+(Plan_Supuestos!$B$43+(Plan_Supuestos!$B$44-Plan_Supuestos!$B$43)*L16)*Plan_Supuestos!$B$45</f>
        <v>244.739927638474</v>
      </c>
      <c r="M23" s="6" t="n">
        <f aca="false">SUMPRODUCT(M17:M22,Plan_Supuestos!$D$30:$D$35)+(Plan_Supuestos!$B$43+(Plan_Supuestos!$B$44-Plan_Supuestos!$B$43)*M16)*Plan_Supuestos!$B$45</f>
        <v>248.989493241838</v>
      </c>
      <c r="N23" s="6" t="n">
        <f aca="false">SUMPRODUCT(N17:N22,Plan_Supuestos!$D$30:$D$35)+(Plan_Supuestos!$B$43+(Plan_Supuestos!$B$44-Plan_Supuestos!$B$43)*N16)*Plan_Supuestos!$B$45</f>
        <v>248.989493241838</v>
      </c>
      <c r="O23" s="6" t="n">
        <f aca="false">SUMPRODUCT(O17:O22,Plan_Supuestos!$D$30:$D$35)+(Plan_Supuestos!$B$43+(Plan_Supuestos!$B$44-Plan_Supuestos!$B$43)*O16)*Plan_Supuestos!$B$45</f>
        <v>248.989493241838</v>
      </c>
      <c r="P23" s="6" t="n">
        <f aca="false">SUMPRODUCT(P17:P22,Plan_Supuestos!$D$30:$D$35)+(Plan_Supuestos!$B$43+(Plan_Supuestos!$B$44-Plan_Supuestos!$B$43)*P16)*Plan_Supuestos!$B$45</f>
        <v>248.989493241838</v>
      </c>
      <c r="Q23" s="6" t="n">
        <f aca="false">SUMPRODUCT(Q17:Q22,Plan_Supuestos!$D$30:$D$35)+(Plan_Supuestos!$B$43+(Plan_Supuestos!$B$44-Plan_Supuestos!$B$43)*Q16)*Plan_Supuestos!$B$45</f>
        <v>248.989493241838</v>
      </c>
      <c r="R23" s="6" t="n">
        <f aca="false">SUMPRODUCT(R17:R22,Plan_Supuestos!$D$30:$D$35)+(Plan_Supuestos!$B$43+(Plan_Supuestos!$B$44-Plan_Supuestos!$B$43)*R16)*Plan_Supuestos!$B$45</f>
        <v>248.989493241838</v>
      </c>
      <c r="S23" s="6" t="n">
        <f aca="false">SUMPRODUCT(S17:S22,Plan_Supuestos!$D$30:$D$35)+(Plan_Supuestos!$B$43+(Plan_Supuestos!$B$44-Plan_Supuestos!$B$43)*S16)*Plan_Supuestos!$B$45</f>
        <v>248.989493241838</v>
      </c>
      <c r="T23" s="6" t="n">
        <f aca="false">SUMPRODUCT(T17:T22,Plan_Supuestos!$D$30:$D$35)+(Plan_Supuestos!$B$43+(Plan_Supuestos!$B$44-Plan_Supuestos!$B$43)*T16)*Plan_Supuestos!$B$45</f>
        <v>248.989493241838</v>
      </c>
      <c r="U23" s="6" t="n">
        <f aca="false">SUMPRODUCT(U17:U22,Plan_Supuestos!$D$30:$D$35)+(Plan_Supuestos!$B$43+(Plan_Supuestos!$B$44-Plan_Supuestos!$B$43)*U16)*Plan_Supuestos!$B$45</f>
        <v>248.989493241838</v>
      </c>
      <c r="V23" s="6" t="n">
        <f aca="false">SUMPRODUCT(V17:V22,Plan_Supuestos!$D$30:$D$35)+(Plan_Supuestos!$B$43+(Plan_Supuestos!$B$44-Plan_Supuestos!$B$43)*V16)*Plan_Supuestos!$B$45</f>
        <v>248.989493241838</v>
      </c>
      <c r="W23" s="6" t="n">
        <f aca="false">SUMPRODUCT(W17:W22,Plan_Supuestos!$D$30:$D$35)+(Plan_Supuestos!$B$43+(Plan_Supuestos!$B$44-Plan_Supuestos!$B$43)*W16)*Plan_Supuestos!$B$45</f>
        <v>248.989493241838</v>
      </c>
      <c r="X23" s="6" t="n">
        <f aca="false">SUMPRODUCT(X17:X22,Plan_Supuestos!$D$30:$D$35)+(Plan_Supuestos!$B$43+(Plan_Supuestos!$B$44-Plan_Supuestos!$B$43)*X16)*Plan_Supuestos!$B$45</f>
        <v>248.989493241838</v>
      </c>
      <c r="Y23" s="6" t="n">
        <f aca="false">SUMPRODUCT(Y17:Y22,Plan_Supuestos!$D$30:$D$35)+(Plan_Supuestos!$B$43+(Plan_Supuestos!$B$44-Plan_Supuestos!$B$43)*Y16)*Plan_Supuestos!$B$45</f>
        <v>248.989493241838</v>
      </c>
    </row>
    <row r="24" customFormat="false" ht="15" hidden="false" customHeight="false" outlineLevel="0" collapsed="false">
      <c r="A24" s="4" t="s">
        <v>146</v>
      </c>
      <c r="B24" s="6" t="n">
        <f aca="false">Plan_Supuestos!$C$26*MIN(1,B$4/6)*Plan_Supuestos!$B$8*SUMPRODUCT(B17:B22,Plan_Supuestos!$E$30:$E$35)</f>
        <v>1.55554652794844</v>
      </c>
      <c r="C24" s="6" t="n">
        <f aca="false">Plan_Supuestos!$C$26*MIN(1,C$4/6)*Plan_Supuestos!$B$8*SUMPRODUCT(C17:C22,Plan_Supuestos!$E$30:$E$35)</f>
        <v>3.17004763609216</v>
      </c>
      <c r="D24" s="6" t="n">
        <f aca="false">Plan_Supuestos!$C$26*MIN(1,D$4/6)*Plan_Supuestos!$B$8*SUMPRODUCT(D17:D22,Plan_Supuestos!$E$30:$E$35)</f>
        <v>4.84350332443117</v>
      </c>
      <c r="E24" s="6" t="n">
        <f aca="false">Plan_Supuestos!$C$26*MIN(1,E$4/6)*Plan_Supuestos!$B$8*SUMPRODUCT(E17:E22,Plan_Supuestos!$E$30:$E$35)</f>
        <v>6.57591359296547</v>
      </c>
      <c r="F24" s="6" t="n">
        <f aca="false">Plan_Supuestos!$C$26*MIN(1,F$4/6)*Plan_Supuestos!$B$8*SUMPRODUCT(F17:F22,Plan_Supuestos!$E$30:$E$35)</f>
        <v>8.36727844169505</v>
      </c>
      <c r="G24" s="6" t="n">
        <f aca="false">Plan_Supuestos!$C$26*MIN(1,G$4/6)*Plan_Supuestos!$B$8*SUMPRODUCT(G17:G22,Plan_Supuestos!$E$30:$E$35)</f>
        <v>10.2175978706199</v>
      </c>
      <c r="H24" s="6" t="n">
        <f aca="false">Plan_Supuestos!$C$26*MIN(1,H$4/6)*Plan_Supuestos!$B$8*SUMPRODUCT(H17:H22,Plan_Supuestos!$E$30:$E$35)</f>
        <v>10.3944616112058</v>
      </c>
      <c r="I24" s="6" t="n">
        <f aca="false">Plan_Supuestos!$C$26*MIN(1,I$4/6)*Plan_Supuestos!$B$8*SUMPRODUCT(I17:I22,Plan_Supuestos!$E$30:$E$35)</f>
        <v>10.5713253517916</v>
      </c>
      <c r="J24" s="6" t="n">
        <f aca="false">Plan_Supuestos!$C$26*MIN(1,J$4/6)*Plan_Supuestos!$B$8*SUMPRODUCT(J17:J22,Plan_Supuestos!$E$30:$E$35)</f>
        <v>10.7481890923775</v>
      </c>
      <c r="K24" s="6" t="n">
        <f aca="false">Plan_Supuestos!$C$26*MIN(1,K$4/6)*Plan_Supuestos!$B$8*SUMPRODUCT(K17:K22,Plan_Supuestos!$E$30:$E$35)</f>
        <v>10.9250528329633</v>
      </c>
      <c r="L24" s="6" t="n">
        <f aca="false">Plan_Supuestos!$C$26*MIN(1,L$4/6)*Plan_Supuestos!$B$8*SUMPRODUCT(L17:L22,Plan_Supuestos!$E$30:$E$35)</f>
        <v>11.1019165735492</v>
      </c>
      <c r="M24" s="6" t="n">
        <f aca="false">Plan_Supuestos!$C$26*MIN(1,M$4/6)*Plan_Supuestos!$B$8*SUMPRODUCT(M17:M22,Plan_Supuestos!$E$30:$E$35)</f>
        <v>11.278780314135</v>
      </c>
      <c r="N24" s="6" t="n">
        <f aca="false">Plan_Supuestos!$C$26*MIN(1,N$4/6)*Plan_Supuestos!$B$8*SUMPRODUCT(N17:N22,Plan_Supuestos!$E$30:$E$35)</f>
        <v>11.278780314135</v>
      </c>
      <c r="O24" s="6" t="n">
        <f aca="false">Plan_Supuestos!$C$26*MIN(1,O$4/6)*Plan_Supuestos!$B$8*SUMPRODUCT(O17:O22,Plan_Supuestos!$E$30:$E$35)</f>
        <v>11.278780314135</v>
      </c>
      <c r="P24" s="6" t="n">
        <f aca="false">Plan_Supuestos!$C$26*MIN(1,P$4/6)*Plan_Supuestos!$B$8*SUMPRODUCT(P17:P22,Plan_Supuestos!$E$30:$E$35)</f>
        <v>11.278780314135</v>
      </c>
      <c r="Q24" s="6" t="n">
        <f aca="false">Plan_Supuestos!$C$26*MIN(1,Q$4/6)*Plan_Supuestos!$B$8*SUMPRODUCT(Q17:Q22,Plan_Supuestos!$E$30:$E$35)</f>
        <v>11.278780314135</v>
      </c>
      <c r="R24" s="6" t="n">
        <f aca="false">Plan_Supuestos!$C$26*MIN(1,R$4/6)*Plan_Supuestos!$B$8*SUMPRODUCT(R17:R22,Plan_Supuestos!$E$30:$E$35)</f>
        <v>11.278780314135</v>
      </c>
      <c r="S24" s="6" t="n">
        <f aca="false">Plan_Supuestos!$C$26*MIN(1,S$4/6)*Plan_Supuestos!$B$8*SUMPRODUCT(S17:S22,Plan_Supuestos!$E$30:$E$35)</f>
        <v>11.278780314135</v>
      </c>
      <c r="T24" s="6" t="n">
        <f aca="false">Plan_Supuestos!$C$26*MIN(1,T$4/6)*Plan_Supuestos!$B$8*SUMPRODUCT(T17:T22,Plan_Supuestos!$E$30:$E$35)</f>
        <v>11.278780314135</v>
      </c>
      <c r="U24" s="6" t="n">
        <f aca="false">Plan_Supuestos!$C$26*MIN(1,U$4/6)*Plan_Supuestos!$B$8*SUMPRODUCT(U17:U22,Plan_Supuestos!$E$30:$E$35)</f>
        <v>11.278780314135</v>
      </c>
      <c r="V24" s="6" t="n">
        <f aca="false">Plan_Supuestos!$C$26*MIN(1,V$4/6)*Plan_Supuestos!$B$8*SUMPRODUCT(V17:V22,Plan_Supuestos!$E$30:$E$35)</f>
        <v>11.278780314135</v>
      </c>
      <c r="W24" s="6" t="n">
        <f aca="false">Plan_Supuestos!$C$26*MIN(1,W$4/6)*Plan_Supuestos!$B$8*SUMPRODUCT(W17:W22,Plan_Supuestos!$E$30:$E$35)</f>
        <v>11.278780314135</v>
      </c>
      <c r="X24" s="6" t="n">
        <f aca="false">Plan_Supuestos!$C$26*MIN(1,X$4/6)*Plan_Supuestos!$B$8*SUMPRODUCT(X17:X22,Plan_Supuestos!$E$30:$E$35)</f>
        <v>11.278780314135</v>
      </c>
      <c r="Y24" s="6" t="n">
        <f aca="false">Plan_Supuestos!$C$26*MIN(1,Y$4/6)*Plan_Supuestos!$B$8*SUMPRODUCT(Y17:Y22,Plan_Supuestos!$E$30:$E$35)</f>
        <v>11.278780314135</v>
      </c>
    </row>
    <row r="25" customFormat="false" ht="15" hidden="false" customHeight="false" outlineLevel="0" collapsed="false">
      <c r="A25" s="4" t="s">
        <v>147</v>
      </c>
      <c r="B25" s="5" t="n">
        <f aca="false">B12*(B23+B24)</f>
        <v>32451.2018103742</v>
      </c>
      <c r="C25" s="5" t="n">
        <f aca="false">C12*(C23+C24)</f>
        <v>36713.7667218974</v>
      </c>
      <c r="D25" s="5" t="n">
        <f aca="false">D12*(D23+D24)</f>
        <v>41519.3295080219</v>
      </c>
      <c r="E25" s="5" t="n">
        <f aca="false">E12*(E23+E24)</f>
        <v>46935.837999656</v>
      </c>
      <c r="F25" s="5" t="n">
        <f aca="false">F12*(F23+F24)</f>
        <v>53039.6694792912</v>
      </c>
      <c r="G25" s="5" t="n">
        <f aca="false">G12*(G23+G24)</f>
        <v>59916.6751945713</v>
      </c>
      <c r="H25" s="5" t="n">
        <f aca="false">H12*(H23+H24)</f>
        <v>67174.667791855</v>
      </c>
      <c r="I25" s="5" t="n">
        <f aca="false">I12*(I23+I24)</f>
        <v>75294.356208952</v>
      </c>
      <c r="J25" s="5" t="n">
        <f aca="false">J12*(J23+J24)</f>
        <v>84377.1569915941</v>
      </c>
      <c r="K25" s="5" t="n">
        <f aca="false">K12*(K23+K24)</f>
        <v>94536.4207949527</v>
      </c>
      <c r="L25" s="5" t="n">
        <f aca="false">L12*(L23+L24)</f>
        <v>105898.846775072</v>
      </c>
      <c r="M25" s="5" t="n">
        <f aca="false">M12*(M23+M24)</f>
        <v>118606.066985621</v>
      </c>
      <c r="N25" s="5" t="n">
        <f aca="false">N12*(N23+N24)</f>
        <v>130595.362824926</v>
      </c>
      <c r="O25" s="5" t="n">
        <f aca="false">O12*(O23+O24)</f>
        <v>143815.167965193</v>
      </c>
      <c r="P25" s="5" t="n">
        <f aca="false">P12*(P23+P24)</f>
        <v>158394.103878259</v>
      </c>
      <c r="Q25" s="5" t="n">
        <f aca="false">Q12*(Q23+Q24)</f>
        <v>174474.536688703</v>
      </c>
      <c r="R25" s="5" t="n">
        <f aca="false">R12*(R23+R24)</f>
        <v>192214.085803035</v>
      </c>
      <c r="S25" s="5" t="n">
        <f aca="false">S12*(S23+S24)</f>
        <v>211787.30359052</v>
      </c>
      <c r="T25" s="5" t="n">
        <f aca="false">T12*(T23+T24)</f>
        <v>233387.546284375</v>
      </c>
      <c r="U25" s="5" t="n">
        <f aca="false">U12*(U23+U24)</f>
        <v>257229.058763998</v>
      </c>
      <c r="V25" s="5" t="n">
        <f aca="false">V12*(V23+V24)</f>
        <v>283549.298696041</v>
      </c>
      <c r="W25" s="5" t="n">
        <f aca="false">W12*(W23+W24)</f>
        <v>308703.884591028</v>
      </c>
      <c r="X25" s="5" t="n">
        <f aca="false">X12*(X23+X24)</f>
        <v>336090.01609187</v>
      </c>
      <c r="Y25" s="5" t="n">
        <f aca="false">Y12*(Y23+Y24)</f>
        <v>365905.660909575</v>
      </c>
    </row>
    <row r="26" customFormat="false" ht="15" hidden="false" customHeight="false" outlineLevel="0" collapsed="false">
      <c r="A26" s="4" t="s">
        <v>148</v>
      </c>
      <c r="B26" s="5" t="n">
        <f aca="false">B14*Plan_Supuestos!$D$36</f>
        <v>881.497148773584</v>
      </c>
      <c r="C26" s="5" t="n">
        <f aca="false">C14*Plan_Supuestos!$D$36</f>
        <v>881.497148773584</v>
      </c>
      <c r="D26" s="5" t="n">
        <f aca="false">D14*Plan_Supuestos!$D$36</f>
        <v>881.497148773584</v>
      </c>
      <c r="E26" s="5" t="n">
        <f aca="false">E14*Plan_Supuestos!$D$36</f>
        <v>881.497148773584</v>
      </c>
      <c r="F26" s="5" t="n">
        <f aca="false">F14*Plan_Supuestos!$D$36</f>
        <v>881.497148773584</v>
      </c>
      <c r="G26" s="5" t="n">
        <f aca="false">G14*Plan_Supuestos!$D$36</f>
        <v>881.497148773584</v>
      </c>
      <c r="H26" s="5" t="n">
        <f aca="false">H14*Plan_Supuestos!$D$36</f>
        <v>881.497148773584</v>
      </c>
      <c r="I26" s="5" t="n">
        <f aca="false">I14*Plan_Supuestos!$D$36</f>
        <v>881.497148773584</v>
      </c>
      <c r="J26" s="5" t="n">
        <f aca="false">J14*Plan_Supuestos!$D$36</f>
        <v>881.497148773584</v>
      </c>
      <c r="K26" s="5" t="n">
        <f aca="false">K14*Plan_Supuestos!$D$36</f>
        <v>881.497148773584</v>
      </c>
      <c r="L26" s="5" t="n">
        <f aca="false">L14*Plan_Supuestos!$D$36</f>
        <v>881.497148773584</v>
      </c>
      <c r="M26" s="5" t="n">
        <f aca="false">M14*Plan_Supuestos!$D$36</f>
        <v>881.497148773584</v>
      </c>
      <c r="N26" s="5" t="n">
        <f aca="false">N14*Plan_Supuestos!$D$36</f>
        <v>2339.35781789913</v>
      </c>
      <c r="O26" s="5" t="n">
        <f aca="false">O14*Plan_Supuestos!$D$36</f>
        <v>2572.61606357286</v>
      </c>
      <c r="P26" s="5" t="n">
        <f aca="false">P14*Plan_Supuestos!$D$36</f>
        <v>2829.42126343123</v>
      </c>
      <c r="Q26" s="5" t="n">
        <f aca="false">Q14*Plan_Supuestos!$D$36</f>
        <v>3112.18547456209</v>
      </c>
      <c r="R26" s="5" t="n">
        <f aca="false">R14*Plan_Supuestos!$D$36</f>
        <v>3423.57218790144</v>
      </c>
      <c r="S26" s="5" t="n">
        <f aca="false">S14*Plan_Supuestos!$D$36</f>
        <v>3766.52309216175</v>
      </c>
      <c r="T26" s="5" t="n">
        <f aca="false">T14*Plan_Supuestos!$D$36</f>
        <v>4144.28775920651</v>
      </c>
      <c r="U26" s="5" t="n">
        <f aca="false">U14*Plan_Supuestos!$D$36</f>
        <v>4560.45657954129</v>
      </c>
      <c r="V26" s="5" t="n">
        <f aca="false">V14*Plan_Supuestos!$D$36</f>
        <v>5018.99731492591</v>
      </c>
      <c r="W26" s="5" t="n">
        <f aca="false">W14*Plan_Supuestos!$D$36</f>
        <v>5524.29567811362</v>
      </c>
      <c r="X26" s="5" t="n">
        <f aca="false">X14*Plan_Supuestos!$D$36</f>
        <v>6081.20039798721</v>
      </c>
      <c r="Y26" s="5" t="n">
        <f aca="false">Y14*Plan_Supuestos!$D$36</f>
        <v>6695.07328256748</v>
      </c>
    </row>
    <row r="27" customFormat="false" ht="15" hidden="false" customHeight="false" outlineLevel="0" collapsed="false">
      <c r="A27" s="4" t="s">
        <v>149</v>
      </c>
      <c r="B27" s="5" t="n">
        <f aca="false">-B7</f>
        <v>-9000</v>
      </c>
      <c r="C27" s="5" t="n">
        <f aca="false">-C7</f>
        <v>-10080</v>
      </c>
      <c r="D27" s="5" t="n">
        <f aca="false">-D7</f>
        <v>-11289.6</v>
      </c>
      <c r="E27" s="5" t="n">
        <f aca="false">-E7</f>
        <v>-12644.352</v>
      </c>
      <c r="F27" s="5" t="n">
        <f aca="false">-F7</f>
        <v>-14161.67424</v>
      </c>
      <c r="G27" s="5" t="n">
        <f aca="false">-G7</f>
        <v>-15861.0751488</v>
      </c>
      <c r="H27" s="5" t="n">
        <f aca="false">-H7</f>
        <v>-17764.404166656</v>
      </c>
      <c r="I27" s="5" t="n">
        <f aca="false">-I7</f>
        <v>-19896.1326666547</v>
      </c>
      <c r="J27" s="5" t="n">
        <f aca="false">-J7</f>
        <v>-22283.6685866533</v>
      </c>
      <c r="K27" s="5" t="n">
        <f aca="false">-K7</f>
        <v>-24957.7088170517</v>
      </c>
      <c r="L27" s="5" t="n">
        <f aca="false">-L7</f>
        <v>-27952.6338750979</v>
      </c>
      <c r="M27" s="5" t="n">
        <f aca="false">-M7</f>
        <v>-31306.9499401097</v>
      </c>
      <c r="N27" s="5" t="n">
        <f aca="false">-N7</f>
        <v>-35063.7839329228</v>
      </c>
      <c r="O27" s="5" t="n">
        <f aca="false">-O7</f>
        <v>-39271.4380048736</v>
      </c>
      <c r="P27" s="5" t="n">
        <f aca="false">-P7</f>
        <v>-43984.0105654584</v>
      </c>
      <c r="Q27" s="5" t="n">
        <f aca="false">-Q7</f>
        <v>-49262.0918333134</v>
      </c>
      <c r="R27" s="5" t="n">
        <f aca="false">-R7</f>
        <v>-55173.542853311</v>
      </c>
      <c r="S27" s="5" t="n">
        <f aca="false">-S7</f>
        <v>-61794.3679957084</v>
      </c>
      <c r="T27" s="5" t="n">
        <f aca="false">-T7</f>
        <v>-69209.6921551934</v>
      </c>
      <c r="U27" s="5" t="n">
        <f aca="false">-U7</f>
        <v>-77514.8552138166</v>
      </c>
      <c r="V27" s="5" t="n">
        <f aca="false">-V7</f>
        <v>-86816.6378394746</v>
      </c>
      <c r="W27" s="5" t="n">
        <f aca="false">-W7</f>
        <v>-97234.6343802115</v>
      </c>
      <c r="X27" s="5" t="n">
        <f aca="false">-X7</f>
        <v>-108902.790505837</v>
      </c>
      <c r="Y27" s="5" t="n">
        <f aca="false">-Y7</f>
        <v>-121971.125366537</v>
      </c>
    </row>
    <row r="28" customFormat="false" ht="15" hidden="false" customHeight="false" outlineLevel="0" collapsed="false">
      <c r="A28" s="4" t="s">
        <v>150</v>
      </c>
      <c r="B28" s="5" t="n">
        <f aca="false">B25+B26+B27</f>
        <v>24332.6989591478</v>
      </c>
      <c r="C28" s="5" t="n">
        <f aca="false">C25+C26+C27</f>
        <v>27515.263870671</v>
      </c>
      <c r="D28" s="5" t="n">
        <f aca="false">D25+D26+D27</f>
        <v>31111.2266567955</v>
      </c>
      <c r="E28" s="5" t="n">
        <f aca="false">E25+E26+E27</f>
        <v>35172.9831484296</v>
      </c>
      <c r="F28" s="5" t="n">
        <f aca="false">F25+F26+F27</f>
        <v>39759.4923880647</v>
      </c>
      <c r="G28" s="5" t="n">
        <f aca="false">G25+G26+G27</f>
        <v>44937.0971945449</v>
      </c>
      <c r="H28" s="5" t="n">
        <f aca="false">H25+H26+H27</f>
        <v>50291.7607739726</v>
      </c>
      <c r="I28" s="5" t="n">
        <f aca="false">I25+I26+I27</f>
        <v>56279.7206910709</v>
      </c>
      <c r="J28" s="5" t="n">
        <f aca="false">J25+J26+J27</f>
        <v>62974.9855537144</v>
      </c>
      <c r="K28" s="5" t="n">
        <f aca="false">K25+K26+K27</f>
        <v>70460.2091266746</v>
      </c>
      <c r="L28" s="5" t="n">
        <f aca="false">L25+L26+L27</f>
        <v>78827.7100487474</v>
      </c>
      <c r="M28" s="5" t="n">
        <f aca="false">M25+M26+M27</f>
        <v>88180.614194285</v>
      </c>
      <c r="N28" s="5" t="n">
        <f aca="false">N25+N26+N27</f>
        <v>97870.936709902</v>
      </c>
      <c r="O28" s="5" t="n">
        <f aca="false">O25+O26+O27</f>
        <v>107116.346023892</v>
      </c>
      <c r="P28" s="5" t="n">
        <f aca="false">P25+P26+P27</f>
        <v>117239.514576231</v>
      </c>
      <c r="Q28" s="5" t="n">
        <f aca="false">Q25+Q26+Q27</f>
        <v>128324.630329952</v>
      </c>
      <c r="R28" s="5" t="n">
        <f aca="false">R25+R26+R27</f>
        <v>140464.115137626</v>
      </c>
      <c r="S28" s="5" t="n">
        <f aca="false">S25+S26+S27</f>
        <v>153759.458686974</v>
      </c>
      <c r="T28" s="5" t="n">
        <f aca="false">T25+T26+T27</f>
        <v>168322.141888388</v>
      </c>
      <c r="U28" s="5" t="n">
        <f aca="false">U25+U26+U27</f>
        <v>184274.660129722</v>
      </c>
      <c r="V28" s="5" t="n">
        <f aca="false">V25+V26+V27</f>
        <v>201751.658171492</v>
      </c>
      <c r="W28" s="5" t="n">
        <f aca="false">W25+W26+W27</f>
        <v>216993.54588893</v>
      </c>
      <c r="X28" s="5" t="n">
        <f aca="false">X25+X26+X27</f>
        <v>233268.42598402</v>
      </c>
      <c r="Y28" s="5" t="n">
        <f aca="false">Y25+Y26+Y27</f>
        <v>250629.608825606</v>
      </c>
    </row>
    <row r="29" customFormat="false" ht="15" hidden="false" customHeight="false" outlineLevel="0" collapsed="false">
      <c r="A29" s="4" t="s">
        <v>151</v>
      </c>
      <c r="B29" s="5" t="n">
        <f aca="false">-(Plan_Supuestos!$B$9+Plan_Supuestos!$B$10*B15)</f>
        <v>-16331.4461538462</v>
      </c>
      <c r="C29" s="5" t="n">
        <f aca="false">-(Plan_Supuestos!$B$9+Plan_Supuestos!$B$10*C15)</f>
        <v>-16458.4618317518</v>
      </c>
      <c r="D29" s="5" t="n">
        <f aca="false">-(Plan_Supuestos!$B$9+Plan_Supuestos!$B$10*D15)</f>
        <v>-16598.2994887465</v>
      </c>
      <c r="E29" s="5" t="n">
        <f aca="false">-(Plan_Supuestos!$B$9+Plan_Supuestos!$B$10*E15)</f>
        <v>-16752.2725577821</v>
      </c>
      <c r="F29" s="5" t="n">
        <f aca="false">-(Plan_Supuestos!$B$9+Plan_Supuestos!$B$10*F15)</f>
        <v>-16921.8313846154</v>
      </c>
      <c r="G29" s="5" t="n">
        <f aca="false">-(Plan_Supuestos!$B$9+Plan_Supuestos!$B$10*G15)</f>
        <v>-17108.5778015198</v>
      </c>
      <c r="H29" s="5" t="n">
        <f aca="false">-(Plan_Supuestos!$B$9+Plan_Supuestos!$B$10*H15)</f>
        <v>-17314.2812918076</v>
      </c>
      <c r="I29" s="5" t="n">
        <f aca="false">-(Plan_Supuestos!$B$9+Plan_Supuestos!$B$10*I15)</f>
        <v>-17540.8969241311</v>
      </c>
      <c r="J29" s="5" t="n">
        <f aca="false">-(Plan_Supuestos!$B$9+Plan_Supuestos!$B$10*J15)</f>
        <v>-17790.5852564086</v>
      </c>
      <c r="K29" s="5" t="n">
        <f aca="false">-(Plan_Supuestos!$B$9+Plan_Supuestos!$B$10*K15)</f>
        <v>-18065.734432634</v>
      </c>
      <c r="L29" s="5" t="n">
        <f aca="false">-(Plan_Supuestos!$B$9+Plan_Supuestos!$B$10*L15)</f>
        <v>-18368.9847221117</v>
      </c>
      <c r="M29" s="5" t="n">
        <f aca="false">-(Plan_Supuestos!$B$9+Plan_Supuestos!$B$10*M15)</f>
        <v>-18703.255780173</v>
      </c>
      <c r="N29" s="5" t="n">
        <f aca="false">-(Plan_Supuestos!$B$9+Plan_Supuestos!$B$10*N15)</f>
        <v>-19167.0384810643</v>
      </c>
      <c r="O29" s="5" t="n">
        <f aca="false">-(Plan_Supuestos!$B$9+Plan_Supuestos!$B$10*O15)</f>
        <v>-19588.6243231162</v>
      </c>
      <c r="P29" s="5" t="n">
        <f aca="false">-(Plan_Supuestos!$B$9+Plan_Supuestos!$B$10*P15)</f>
        <v>-20053.5251053708</v>
      </c>
      <c r="Q29" s="5" t="n">
        <f aca="false">-(Plan_Supuestos!$B$9+Plan_Supuestos!$B$10*Q15)</f>
        <v>-20566.2744206925</v>
      </c>
      <c r="R29" s="5" t="n">
        <f aca="false">-(Plan_Supuestos!$B$9+Plan_Supuestos!$B$10*R15)</f>
        <v>-21131.8911394668</v>
      </c>
      <c r="S29" s="5" t="n">
        <f aca="false">-(Plan_Supuestos!$B$9+Plan_Supuestos!$B$10*S15)</f>
        <v>-21755.9327876603</v>
      </c>
      <c r="T29" s="5" t="n">
        <f aca="false">-(Plan_Supuestos!$B$9+Plan_Supuestos!$B$10*T15)</f>
        <v>-22444.5549934172</v>
      </c>
      <c r="U29" s="5" t="n">
        <f aca="false">-(Plan_Supuestos!$B$9+Plan_Supuestos!$B$10*U15)</f>
        <v>-23204.5777202007</v>
      </c>
      <c r="V29" s="5" t="n">
        <f aca="false">-(Plan_Supuestos!$B$9+Plan_Supuestos!$B$10*V15)</f>
        <v>-24043.559093586</v>
      </c>
      <c r="W29" s="5" t="n">
        <f aca="false">-(Plan_Supuestos!$B$9+Plan_Supuestos!$B$10*W15)</f>
        <v>-24849.7664596281</v>
      </c>
      <c r="X29" s="5" t="n">
        <f aca="false">-(Plan_Supuestos!$B$9+Plan_Supuestos!$B$10*X15)</f>
        <v>-25727.9381261156</v>
      </c>
      <c r="Y29" s="5" t="n">
        <f aca="false">-(Plan_Supuestos!$B$9+Plan_Supuestos!$B$10*Y15)</f>
        <v>-26684.5094872033</v>
      </c>
    </row>
    <row r="30" customFormat="false" ht="15" hidden="false" customHeight="false" outlineLevel="0" collapsed="false">
      <c r="A30" s="4" t="s">
        <v>152</v>
      </c>
      <c r="B30" s="5" t="n">
        <f aca="false">B28+B29</f>
        <v>8001.25280530165</v>
      </c>
      <c r="C30" s="5" t="n">
        <f aca="false">C28+C29</f>
        <v>11056.8020389192</v>
      </c>
      <c r="D30" s="5" t="n">
        <f aca="false">D28+D29</f>
        <v>14512.927168049</v>
      </c>
      <c r="E30" s="5" t="n">
        <f aca="false">E28+E29</f>
        <v>18420.7105906474</v>
      </c>
      <c r="F30" s="5" t="n">
        <f aca="false">F28+F29</f>
        <v>22837.6610034493</v>
      </c>
      <c r="G30" s="5" t="n">
        <f aca="false">G28+G29</f>
        <v>27828.519393025</v>
      </c>
      <c r="H30" s="5" t="n">
        <f aca="false">H28+H29</f>
        <v>32977.479482165</v>
      </c>
      <c r="I30" s="5" t="n">
        <f aca="false">I28+I29</f>
        <v>38738.8237669397</v>
      </c>
      <c r="J30" s="5" t="n">
        <f aca="false">J28+J29</f>
        <v>45184.4002973058</v>
      </c>
      <c r="K30" s="5" t="n">
        <f aca="false">K28+K29</f>
        <v>52394.4746940405</v>
      </c>
      <c r="L30" s="5" t="n">
        <f aca="false">L28+L29</f>
        <v>60458.7253266357</v>
      </c>
      <c r="M30" s="5" t="n">
        <f aca="false">M28+M29</f>
        <v>69477.358414112</v>
      </c>
      <c r="N30" s="5" t="n">
        <f aca="false">N28+N29</f>
        <v>78703.8982288377</v>
      </c>
      <c r="O30" s="5" t="n">
        <f aca="false">O28+O29</f>
        <v>87527.7217007756</v>
      </c>
      <c r="P30" s="5" t="n">
        <f aca="false">P28+P29</f>
        <v>97185.9894708606</v>
      </c>
      <c r="Q30" s="5" t="n">
        <f aca="false">Q28+Q29</f>
        <v>107758.355909259</v>
      </c>
      <c r="R30" s="5" t="n">
        <f aca="false">R28+R29</f>
        <v>119332.223998159</v>
      </c>
      <c r="S30" s="5" t="n">
        <f aca="false">S28+S29</f>
        <v>132003.525899313</v>
      </c>
      <c r="T30" s="5" t="n">
        <f aca="false">T28+T29</f>
        <v>145877.586894971</v>
      </c>
      <c r="U30" s="5" t="n">
        <f aca="false">U28+U29</f>
        <v>161070.082409522</v>
      </c>
      <c r="V30" s="5" t="n">
        <f aca="false">V28+V29</f>
        <v>177708.099077906</v>
      </c>
      <c r="W30" s="5" t="n">
        <f aca="false">W28+W29</f>
        <v>192143.779429302</v>
      </c>
      <c r="X30" s="5" t="n">
        <f aca="false">X28+X29</f>
        <v>207540.487857905</v>
      </c>
      <c r="Y30" s="5" t="n">
        <f aca="false">Y28+Y29</f>
        <v>223945.099338402</v>
      </c>
    </row>
    <row r="31" customFormat="false" ht="15" hidden="false" customHeight="false" outlineLevel="0" collapsed="false">
      <c r="A31" s="4" t="s">
        <v>153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154</v>
      </c>
      <c r="B32" s="9" t="n">
        <f aca="false">B30+B31</f>
        <v>8001.25280530165</v>
      </c>
      <c r="C32" s="9" t="n">
        <f aca="false">C30+C31</f>
        <v>11056.8020389192</v>
      </c>
      <c r="D32" s="9" t="n">
        <f aca="false">D30+D31</f>
        <v>14512.927168049</v>
      </c>
      <c r="E32" s="9" t="n">
        <f aca="false">E30+E31</f>
        <v>18420.7105906474</v>
      </c>
      <c r="F32" s="9" t="n">
        <f aca="false">F30+F31</f>
        <v>22837.6610034493</v>
      </c>
      <c r="G32" s="9" t="n">
        <f aca="false">G30+G31</f>
        <v>27828.519393025</v>
      </c>
      <c r="H32" s="9" t="n">
        <f aca="false">H30+H31</f>
        <v>32977.479482165</v>
      </c>
      <c r="I32" s="9" t="n">
        <f aca="false">I30+I31</f>
        <v>38738.8237669397</v>
      </c>
      <c r="J32" s="9" t="n">
        <f aca="false">J30+J31</f>
        <v>45184.4002973058</v>
      </c>
      <c r="K32" s="9" t="n">
        <f aca="false">K30+K31</f>
        <v>52394.4746940405</v>
      </c>
      <c r="L32" s="9" t="n">
        <f aca="false">L30+L31</f>
        <v>60458.7253266357</v>
      </c>
      <c r="M32" s="9" t="n">
        <f aca="false">M30+M31</f>
        <v>69477.358414112</v>
      </c>
      <c r="N32" s="9" t="n">
        <f aca="false">N30+N31</f>
        <v>78703.8982288377</v>
      </c>
      <c r="O32" s="9" t="n">
        <f aca="false">O30+O31</f>
        <v>87527.7217007756</v>
      </c>
      <c r="P32" s="9" t="n">
        <f aca="false">P30+P31</f>
        <v>97185.9894708606</v>
      </c>
      <c r="Q32" s="9" t="n">
        <f aca="false">Q30+Q31</f>
        <v>107758.355909259</v>
      </c>
      <c r="R32" s="9" t="n">
        <f aca="false">R30+R31</f>
        <v>119332.223998159</v>
      </c>
      <c r="S32" s="9" t="n">
        <f aca="false">S30+S31</f>
        <v>132003.525899313</v>
      </c>
      <c r="T32" s="9" t="n">
        <f aca="false">T30+T31</f>
        <v>145877.586894971</v>
      </c>
      <c r="U32" s="9" t="n">
        <f aca="false">U30+U31</f>
        <v>161070.082409522</v>
      </c>
      <c r="V32" s="9" t="n">
        <f aca="false">V30+V31</f>
        <v>177708.099077906</v>
      </c>
      <c r="W32" s="9" t="n">
        <f aca="false">W30+W31</f>
        <v>192143.779429302</v>
      </c>
      <c r="X32" s="9" t="n">
        <f aca="false">X30+X31</f>
        <v>207540.487857905</v>
      </c>
      <c r="Y32" s="9" t="n">
        <f aca="false">Y30+Y31</f>
        <v>223945.099338402</v>
      </c>
    </row>
    <row r="33" customFormat="false" ht="15" hidden="false" customHeight="false" outlineLevel="0" collapsed="false">
      <c r="A33" s="4" t="s">
        <v>155</v>
      </c>
      <c r="B33" s="5" t="n">
        <f aca="false">B32</f>
        <v>8001.25280530165</v>
      </c>
      <c r="C33" s="5" t="n">
        <f aca="false">B33+C32</f>
        <v>19058.0548442208</v>
      </c>
      <c r="D33" s="5" t="n">
        <f aca="false">C33+D32</f>
        <v>33570.9820122698</v>
      </c>
      <c r="E33" s="5" t="n">
        <f aca="false">D33+E32</f>
        <v>51991.6926029172</v>
      </c>
      <c r="F33" s="5" t="n">
        <f aca="false">E33+F32</f>
        <v>74829.3536063665</v>
      </c>
      <c r="G33" s="5" t="n">
        <f aca="false">F33+G32</f>
        <v>102657.872999392</v>
      </c>
      <c r="H33" s="5" t="n">
        <f aca="false">G33+H32</f>
        <v>135635.352481557</v>
      </c>
      <c r="I33" s="5" t="n">
        <f aca="false">H33+I32</f>
        <v>174374.176248496</v>
      </c>
      <c r="J33" s="5" t="n">
        <f aca="false">I33+J32</f>
        <v>219558.576545802</v>
      </c>
      <c r="K33" s="5" t="n">
        <f aca="false">J33+K32</f>
        <v>271953.051239843</v>
      </c>
      <c r="L33" s="5" t="n">
        <f aca="false">K33+L32</f>
        <v>332411.776566478</v>
      </c>
      <c r="M33" s="5" t="n">
        <f aca="false">L33+M32</f>
        <v>401889.13498059</v>
      </c>
      <c r="N33" s="5" t="n">
        <f aca="false">M33+N32</f>
        <v>480593.033209428</v>
      </c>
      <c r="O33" s="5" t="n">
        <f aca="false">N33+O32</f>
        <v>568120.754910204</v>
      </c>
      <c r="P33" s="5" t="n">
        <f aca="false">O33+P32</f>
        <v>665306.744381064</v>
      </c>
      <c r="Q33" s="5" t="n">
        <f aca="false">P33+Q32</f>
        <v>773065.100290323</v>
      </c>
      <c r="R33" s="5" t="n">
        <f aca="false">Q33+R32</f>
        <v>892397.324288482</v>
      </c>
      <c r="S33" s="5" t="n">
        <f aca="false">R33+S32</f>
        <v>1024400.8501878</v>
      </c>
      <c r="T33" s="5" t="n">
        <f aca="false">S33+T32</f>
        <v>1170278.43708277</v>
      </c>
      <c r="U33" s="5" t="n">
        <f aca="false">T33+U32</f>
        <v>1331348.51949229</v>
      </c>
      <c r="V33" s="5" t="n">
        <f aca="false">U33+V32</f>
        <v>1509056.61857019</v>
      </c>
      <c r="W33" s="5" t="n">
        <f aca="false">V33+W32</f>
        <v>1701200.3979995</v>
      </c>
      <c r="X33" s="5" t="n">
        <f aca="false">W33+X32</f>
        <v>1908740.8858574</v>
      </c>
      <c r="Y33" s="5" t="n">
        <f aca="false">X33+Y32</f>
        <v>2132685.9851958</v>
      </c>
    </row>
    <row r="34" customFormat="false" ht="15" hidden="false" customHeight="false" outlineLevel="0" collapsed="false">
      <c r="A34" s="4" t="s">
        <v>156</v>
      </c>
      <c r="M34" s="5" t="n">
        <f aca="false">SUM(B32:M32)</f>
        <v>401889.13498059</v>
      </c>
      <c r="N34" s="5" t="n">
        <f aca="false">SUM(C32:N32)</f>
        <v>472591.780404126</v>
      </c>
      <c r="O34" s="5" t="n">
        <f aca="false">SUM(D32:O32)</f>
        <v>549062.700065983</v>
      </c>
      <c r="P34" s="5" t="n">
        <f aca="false">SUM(E32:P32)</f>
        <v>631735.762368795</v>
      </c>
      <c r="Q34" s="5" t="n">
        <f aca="false">SUM(F32:Q32)</f>
        <v>721073.407687406</v>
      </c>
      <c r="R34" s="5" t="n">
        <f aca="false">SUM(G32:R32)</f>
        <v>817567.970682116</v>
      </c>
      <c r="S34" s="5" t="n">
        <f aca="false">SUM(H32:S32)</f>
        <v>921742.977188404</v>
      </c>
      <c r="T34" s="5" t="n">
        <f aca="false">SUM(I32:T32)</f>
        <v>1034643.08460121</v>
      </c>
      <c r="U34" s="5" t="n">
        <f aca="false">SUM(J32:U32)</f>
        <v>1156974.34324379</v>
      </c>
      <c r="V34" s="5" t="n">
        <f aca="false">SUM(K32:V32)</f>
        <v>1289498.04202439</v>
      </c>
      <c r="W34" s="5" t="n">
        <f aca="false">SUM(L32:W32)</f>
        <v>1429247.34675965</v>
      </c>
      <c r="X34" s="5" t="n">
        <f aca="false">SUM(M32:X32)</f>
        <v>1576329.10929092</v>
      </c>
      <c r="Y34" s="5" t="n">
        <f aca="false">SUM(N32:Y32)</f>
        <v>1730796.85021521</v>
      </c>
    </row>
    <row r="35" customFormat="false" ht="15" hidden="false" customHeight="false" outlineLevel="0" collapsed="false">
      <c r="A35" s="4" t="s">
        <v>157</v>
      </c>
      <c r="B35" s="5" t="n">
        <f aca="false">B32*12</f>
        <v>96015.0336636198</v>
      </c>
      <c r="C35" s="5" t="n">
        <f aca="false">C32*12</f>
        <v>132681.62446703</v>
      </c>
      <c r="D35" s="5" t="n">
        <f aca="false">D32*12</f>
        <v>174155.126016588</v>
      </c>
      <c r="E35" s="5" t="n">
        <f aca="false">E32*12</f>
        <v>221048.527087769</v>
      </c>
      <c r="F35" s="5" t="n">
        <f aca="false">F32*12</f>
        <v>274051.932041392</v>
      </c>
      <c r="G35" s="5" t="n">
        <f aca="false">G32*12</f>
        <v>333942.232716301</v>
      </c>
      <c r="H35" s="5" t="n">
        <f aca="false">H32*12</f>
        <v>395729.753785979</v>
      </c>
      <c r="I35" s="5" t="n">
        <f aca="false">I32*12</f>
        <v>464865.885203277</v>
      </c>
      <c r="J35" s="5" t="n">
        <f aca="false">J32*12</f>
        <v>542212.80356767</v>
      </c>
      <c r="K35" s="5" t="n">
        <f aca="false">K32*12</f>
        <v>628733.696328487</v>
      </c>
      <c r="L35" s="5" t="n">
        <f aca="false">L32*12</f>
        <v>725504.703919629</v>
      </c>
      <c r="M35" s="5" t="n">
        <f aca="false">M32*12</f>
        <v>833728.300969344</v>
      </c>
      <c r="N35" s="5" t="n">
        <f aca="false">N32*12</f>
        <v>944446.778746053</v>
      </c>
      <c r="O35" s="5" t="n">
        <f aca="false">O32*12</f>
        <v>1050332.66040931</v>
      </c>
      <c r="P35" s="5" t="n">
        <f aca="false">P32*12</f>
        <v>1166231.87365033</v>
      </c>
      <c r="Q35" s="5" t="n">
        <f aca="false">Q32*12</f>
        <v>1293100.27091111</v>
      </c>
      <c r="R35" s="5" t="n">
        <f aca="false">R32*12</f>
        <v>1431986.68797791</v>
      </c>
      <c r="S35" s="5" t="n">
        <f aca="false">S32*12</f>
        <v>1584042.31079176</v>
      </c>
      <c r="T35" s="5" t="n">
        <f aca="false">T32*12</f>
        <v>1750531.04273966</v>
      </c>
      <c r="U35" s="5" t="n">
        <f aca="false">U32*12</f>
        <v>1932840.98891426</v>
      </c>
      <c r="V35" s="5" t="n">
        <f aca="false">V32*12</f>
        <v>2132497.18893488</v>
      </c>
      <c r="W35" s="5" t="n">
        <f aca="false">W32*12</f>
        <v>2305725.35315163</v>
      </c>
      <c r="X35" s="5" t="n">
        <f aca="false">X32*12</f>
        <v>2490485.85429486</v>
      </c>
      <c r="Y35" s="5" t="n">
        <f aca="false">Y32*12</f>
        <v>2687341.19206083</v>
      </c>
    </row>
    <row r="36" customFormat="false" ht="15" hidden="false" customHeight="false" outlineLevel="0" collapsed="false">
      <c r="A36" s="8" t="s">
        <v>158</v>
      </c>
      <c r="B36" s="18" t="n">
        <f aca="false">B35/Plan_Supuestos!$B$13</f>
        <v>27432.8667610342</v>
      </c>
      <c r="C36" s="18" t="n">
        <f aca="false">C35/Plan_Supuestos!$B$13</f>
        <v>37909.0355620085</v>
      </c>
      <c r="D36" s="18" t="n">
        <f aca="false">D35/Plan_Supuestos!$B$13</f>
        <v>49758.6074333108</v>
      </c>
      <c r="E36" s="18" t="n">
        <f aca="false">E35/Plan_Supuestos!$B$13</f>
        <v>63156.7220250768</v>
      </c>
      <c r="F36" s="18" t="n">
        <f aca="false">F35/Plan_Supuestos!$B$13</f>
        <v>78300.5520118263</v>
      </c>
      <c r="G36" s="18" t="n">
        <f aca="false">G35/Plan_Supuestos!$B$13</f>
        <v>95412.0664903716</v>
      </c>
      <c r="H36" s="18" t="n">
        <f aca="false">H35/Plan_Supuestos!$B$13</f>
        <v>113065.643938851</v>
      </c>
      <c r="I36" s="18" t="n">
        <f aca="false">I35/Plan_Supuestos!$B$13</f>
        <v>132818.824343793</v>
      </c>
      <c r="J36" s="18" t="n">
        <f aca="false">J35/Plan_Supuestos!$B$13</f>
        <v>154917.943876477</v>
      </c>
      <c r="K36" s="18" t="n">
        <f aca="false">K35/Plan_Supuestos!$B$13</f>
        <v>179638.198950996</v>
      </c>
      <c r="L36" s="18" t="n">
        <f aca="false">L35/Plan_Supuestos!$B$13</f>
        <v>207287.058262751</v>
      </c>
      <c r="M36" s="18" t="n">
        <f aca="false">M35/Plan_Supuestos!$B$13</f>
        <v>238208.085991241</v>
      </c>
      <c r="N36" s="18" t="n">
        <f aca="false">N35/Plan_Supuestos!$B$13</f>
        <v>269841.936784587</v>
      </c>
      <c r="O36" s="18" t="n">
        <f aca="false">O35/Plan_Supuestos!$B$13</f>
        <v>300095.045831231</v>
      </c>
      <c r="P36" s="18" t="n">
        <f aca="false">P35/Plan_Supuestos!$B$13</f>
        <v>333209.106757236</v>
      </c>
      <c r="Q36" s="18" t="n">
        <f aca="false">Q35/Plan_Supuestos!$B$13</f>
        <v>369457.220260317</v>
      </c>
      <c r="R36" s="18" t="n">
        <f aca="false">R35/Plan_Supuestos!$B$13</f>
        <v>409139.053707973</v>
      </c>
      <c r="S36" s="18" t="n">
        <f aca="false">S35/Plan_Supuestos!$B$13</f>
        <v>452583.517369074</v>
      </c>
      <c r="T36" s="18" t="n">
        <f aca="false">T35/Plan_Supuestos!$B$13</f>
        <v>500151.726497044</v>
      </c>
      <c r="U36" s="18" t="n">
        <f aca="false">U35/Plan_Supuestos!$B$13</f>
        <v>552240.282546931</v>
      </c>
      <c r="V36" s="18" t="n">
        <f aca="false">V35/Plan_Supuestos!$B$13</f>
        <v>609284.91112425</v>
      </c>
      <c r="W36" s="18" t="n">
        <f aca="false">W35/Plan_Supuestos!$B$13</f>
        <v>658778.672329036</v>
      </c>
      <c r="X36" s="18" t="n">
        <f aca="false">X35/Plan_Supuestos!$B$13</f>
        <v>711567.386941388</v>
      </c>
      <c r="Y36" s="18" t="n">
        <f aca="false">Y35/Plan_Supuestos!$B$13</f>
        <v>767811.769160236</v>
      </c>
    </row>
    <row r="37" customFormat="false" ht="15" hidden="false" customHeight="false" outlineLevel="0" collapsed="false">
      <c r="A37" s="4" t="s">
        <v>159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160</v>
      </c>
      <c r="B38" s="5" t="n">
        <f aca="false">B12*(Plan_Supuestos!$B$8*Supuestos!$B$7+(1-Plan_Supuestos!$B$8)*Supuestos!$B$8)*SUMPRODUCT(B17:B22,Plan_Supuestos!$F$30:$F$35)+B14*Plan_Supuestos!$F$36</f>
        <v>3577.99084423059</v>
      </c>
      <c r="C38" s="5" t="n">
        <f aca="false">C12*(Plan_Supuestos!$B$8*Supuestos!$B$7+(1-Plan_Supuestos!$B$8)*Supuestos!$B$8)*SUMPRODUCT(C17:C22,Plan_Supuestos!$F$30:$F$35)+C14*Plan_Supuestos!$F$36</f>
        <v>4440.51453683147</v>
      </c>
      <c r="D38" s="5" t="n">
        <f aca="false">D12*(Plan_Supuestos!$B$8*Supuestos!$B$7+(1-Plan_Supuestos!$B$8)*Supuestos!$B$8)*SUMPRODUCT(D17:D22,Plan_Supuestos!$F$30:$F$35)+D14*Plan_Supuestos!$F$36</f>
        <v>5439.8471348403</v>
      </c>
      <c r="E38" s="5" t="n">
        <f aca="false">E12*(Plan_Supuestos!$B$8*Supuestos!$B$7+(1-Plan_Supuestos!$B$8)*Supuestos!$B$8)*SUMPRODUCT(E17:E22,Plan_Supuestos!$F$30:$F$35)+E14*Plan_Supuestos!$F$36</f>
        <v>6594.9519705178</v>
      </c>
      <c r="F38" s="5" t="n">
        <f aca="false">F12*(Plan_Supuestos!$B$8*Supuestos!$B$7+(1-Plan_Supuestos!$B$8)*Supuestos!$B$8)*SUMPRODUCT(F17:F22,Plan_Supuestos!$F$30:$F$35)+F14*Plan_Supuestos!$F$36</f>
        <v>7927.26590898921</v>
      </c>
      <c r="G38" s="5" t="n">
        <f aca="false">G12*(Plan_Supuestos!$B$8*Supuestos!$B$7+(1-Plan_Supuestos!$B$8)*Supuestos!$B$8)*SUMPRODUCT(G17:G22,Plan_Supuestos!$F$30:$F$35)+G14*Plan_Supuestos!$F$36</f>
        <v>9461.01297354667</v>
      </c>
      <c r="H38" s="5" t="n">
        <f aca="false">H12*(Plan_Supuestos!$B$8*Supuestos!$B$7+(1-Plan_Supuestos!$B$8)*Supuestos!$B$8)*SUMPRODUCT(H17:H22,Plan_Supuestos!$F$30:$F$35)+H14*Plan_Supuestos!$F$36</f>
        <v>11223.5573525783</v>
      </c>
      <c r="I38" s="5" t="n">
        <f aca="false">I12*(Plan_Supuestos!$B$8*Supuestos!$B$7+(1-Plan_Supuestos!$B$8)*Supuestos!$B$8)*SUMPRODUCT(I17:I22,Plan_Supuestos!$F$30:$F$35)+I14*Plan_Supuestos!$F$36</f>
        <v>13245.8007500589</v>
      </c>
      <c r="J38" s="5" t="n">
        <f aca="false">J12*(Plan_Supuestos!$B$8*Supuestos!$B$7+(1-Plan_Supuestos!$B$8)*Supuestos!$B$8)*SUMPRODUCT(J17:J22,Plan_Supuestos!$F$30:$F$35)+J14*Plan_Supuestos!$F$36</f>
        <v>15562.629675612</v>
      </c>
      <c r="K38" s="5" t="n">
        <f aca="false">K12*(Plan_Supuestos!$B$8*Supuestos!$B$7+(1-Plan_Supuestos!$B$8)*Supuestos!$B$8)*SUMPRODUCT(K17:K22,Plan_Supuestos!$F$30:$F$35)+K14*Plan_Supuestos!$F$36</f>
        <v>18213.4189872126</v>
      </c>
      <c r="L38" s="5" t="n">
        <f aca="false">L12*(Plan_Supuestos!$B$8*Supuestos!$B$7+(1-Plan_Supuestos!$B$8)*Supuestos!$B$8)*SUMPRODUCT(L17:L22,Plan_Supuestos!$F$30:$F$35)+L14*Plan_Supuestos!$F$36</f>
        <v>21242.5988108728</v>
      </c>
      <c r="M38" s="5" t="n">
        <f aca="false">M12*(Plan_Supuestos!$B$8*Supuestos!$B$7+(1-Plan_Supuestos!$B$8)*Supuestos!$B$8)*SUMPRODUCT(M17:M22,Plan_Supuestos!$F$30:$F$35)+M14*Plan_Supuestos!$F$36</f>
        <v>24700.2928799488</v>
      </c>
      <c r="N38" s="5" t="n">
        <f aca="false">N12*(Plan_Supuestos!$B$8*Supuestos!$B$7+(1-Plan_Supuestos!$B$8)*Supuestos!$B$8)*SUMPRODUCT(N17:N22,Plan_Supuestos!$F$30:$F$35)+N14*Plan_Supuestos!$F$36</f>
        <v>27168.9879104729</v>
      </c>
      <c r="O38" s="5" t="n">
        <f aca="false">O12*(Plan_Supuestos!$B$8*Supuestos!$B$7+(1-Plan_Supuestos!$B$8)*Supuestos!$B$8)*SUMPRODUCT(O17:O22,Plan_Supuestos!$F$30:$F$35)+O14*Plan_Supuestos!$F$36</f>
        <v>29919.3018842982</v>
      </c>
      <c r="P38" s="5" t="n">
        <f aca="false">P12*(Plan_Supuestos!$B$8*Supuestos!$B$7+(1-Plan_Supuestos!$B$8)*Supuestos!$B$8)*SUMPRODUCT(P17:P22,Plan_Supuestos!$F$30:$F$35)+P14*Plan_Supuestos!$F$36</f>
        <v>32952.3851084124</v>
      </c>
      <c r="Q38" s="5" t="n">
        <f aca="false">Q12*(Plan_Supuestos!$B$8*Supuestos!$B$7+(1-Plan_Supuestos!$B$8)*Supuestos!$B$8)*SUMPRODUCT(Q17:Q22,Plan_Supuestos!$F$30:$F$35)+Q14*Plan_Supuestos!$F$36</f>
        <v>36297.8581932201</v>
      </c>
      <c r="R38" s="5" t="n">
        <f aca="false">R12*(Plan_Supuestos!$B$8*Supuestos!$B$7+(1-Plan_Supuestos!$B$8)*Supuestos!$B$8)*SUMPRODUCT(R17:R22,Plan_Supuestos!$F$30:$F$35)+R14*Plan_Supuestos!$F$36</f>
        <v>39988.5154816263</v>
      </c>
      <c r="S38" s="5" t="n">
        <f aca="false">S12*(Plan_Supuestos!$B$8*Supuestos!$B$7+(1-Plan_Supuestos!$B$8)*Supuestos!$B$8)*SUMPRODUCT(S17:S22,Plan_Supuestos!$F$30:$F$35)+S14*Plan_Supuestos!$F$36</f>
        <v>44060.6745572461</v>
      </c>
      <c r="T38" s="5" t="n">
        <f aca="false">T12*(Plan_Supuestos!$B$8*Supuestos!$B$7+(1-Plan_Supuestos!$B$8)*Supuestos!$B$8)*SUMPRODUCT(T17:T22,Plan_Supuestos!$F$30:$F$35)+T14*Plan_Supuestos!$F$36</f>
        <v>48554.565544353</v>
      </c>
      <c r="U38" s="5" t="n">
        <f aca="false">U12*(Plan_Supuestos!$B$8*Supuestos!$B$7+(1-Plan_Supuestos!$B$8)*Supuestos!$B$8)*SUMPRODUCT(U17:U22,Plan_Supuestos!$F$30:$F$35)+U14*Plan_Supuestos!$F$36</f>
        <v>53514.7649154661</v>
      </c>
      <c r="V38" s="5" t="n">
        <f aca="false">V12*(Plan_Supuestos!$B$8*Supuestos!$B$7+(1-Plan_Supuestos!$B$8)*Supuestos!$B$8)*SUMPRODUCT(V17:V22,Plan_Supuestos!$F$30:$F$35)+V14*Plan_Supuestos!$F$36</f>
        <v>58990.6791088026</v>
      </c>
      <c r="W38" s="5" t="n">
        <f aca="false">W12*(Plan_Supuestos!$B$8*Supuestos!$B$7+(1-Plan_Supuestos!$B$8)*Supuestos!$B$8)*SUMPRODUCT(W17:W22,Plan_Supuestos!$F$30:$F$35)+W14*Plan_Supuestos!$F$36</f>
        <v>64222.7009911563</v>
      </c>
      <c r="X38" s="5" t="n">
        <f aca="false">X12*(Plan_Supuestos!$B$8*Supuestos!$B$7+(1-Plan_Supuestos!$B$8)*Supuestos!$B$8)*SUMPRODUCT(X17:X22,Plan_Supuestos!$F$30:$F$35)+X14*Plan_Supuestos!$F$36</f>
        <v>69918.7332961008</v>
      </c>
      <c r="Y38" s="5" t="n">
        <f aca="false">Y12*(Plan_Supuestos!$B$8*Supuestos!$B$7+(1-Plan_Supuestos!$B$8)*Supuestos!$B$8)*SUMPRODUCT(Y17:Y22,Plan_Supuestos!$F$30:$F$35)+Y14*Plan_Supuestos!$F$36</f>
        <v>76119.9237986896</v>
      </c>
    </row>
    <row r="39" customFormat="false" ht="15" hidden="false" customHeight="false" outlineLevel="0" collapsed="false">
      <c r="A39" s="4" t="s">
        <v>161</v>
      </c>
      <c r="B39" s="5" t="n">
        <f aca="false">B38*Plan_Supuestos!$B$11</f>
        <v>17889.9542211529</v>
      </c>
      <c r="C39" s="5" t="n">
        <f aca="false">C38*Plan_Supuestos!$B$11</f>
        <v>22202.5726841574</v>
      </c>
      <c r="D39" s="5" t="n">
        <f aca="false">D38*Plan_Supuestos!$B$11</f>
        <v>27199.2356742015</v>
      </c>
      <c r="E39" s="5" t="n">
        <f aca="false">E38*Plan_Supuestos!$B$11</f>
        <v>32974.759852589</v>
      </c>
      <c r="F39" s="5" t="n">
        <f aca="false">F38*Plan_Supuestos!$B$11</f>
        <v>39636.329544946</v>
      </c>
      <c r="G39" s="5" t="n">
        <f aca="false">G38*Plan_Supuestos!$B$11</f>
        <v>47305.0648677333</v>
      </c>
      <c r="H39" s="5" t="n">
        <f aca="false">H38*Plan_Supuestos!$B$11</f>
        <v>56117.7867628916</v>
      </c>
      <c r="I39" s="5" t="n">
        <f aca="false">I38*Plan_Supuestos!$B$11</f>
        <v>66229.0037502947</v>
      </c>
      <c r="J39" s="5" t="n">
        <f aca="false">J38*Plan_Supuestos!$B$11</f>
        <v>77813.1483780602</v>
      </c>
      <c r="K39" s="5" t="n">
        <f aca="false">K38*Plan_Supuestos!$B$11</f>
        <v>91067.0949360632</v>
      </c>
      <c r="L39" s="5" t="n">
        <f aca="false">L38*Plan_Supuestos!$B$11</f>
        <v>106212.994054364</v>
      </c>
      <c r="M39" s="5" t="n">
        <f aca="false">M38*Plan_Supuestos!$B$11</f>
        <v>123501.464399744</v>
      </c>
      <c r="N39" s="5" t="n">
        <f aca="false">N38*Plan_Supuestos!$B$11</f>
        <v>135844.939552364</v>
      </c>
      <c r="O39" s="5" t="n">
        <f aca="false">O38*Plan_Supuestos!$B$11</f>
        <v>149596.509421491</v>
      </c>
      <c r="P39" s="5" t="n">
        <f aca="false">P38*Plan_Supuestos!$B$11</f>
        <v>164761.925542062</v>
      </c>
      <c r="Q39" s="5" t="n">
        <f aca="false">Q38*Plan_Supuestos!$B$11</f>
        <v>181489.2909661</v>
      </c>
      <c r="R39" s="5" t="n">
        <f aca="false">R38*Plan_Supuestos!$B$11</f>
        <v>199942.577408132</v>
      </c>
      <c r="S39" s="5" t="n">
        <f aca="false">S38*Plan_Supuestos!$B$11</f>
        <v>220303.37278623</v>
      </c>
      <c r="T39" s="5" t="n">
        <f aca="false">T38*Plan_Supuestos!$B$11</f>
        <v>242772.827721765</v>
      </c>
      <c r="U39" s="5" t="n">
        <f aca="false">U38*Plan_Supuestos!$B$11</f>
        <v>267573.824577331</v>
      </c>
      <c r="V39" s="5" t="n">
        <f aca="false">V38*Plan_Supuestos!$B$11</f>
        <v>294953.395544013</v>
      </c>
      <c r="W39" s="5" t="n">
        <f aca="false">W38*Plan_Supuestos!$B$11</f>
        <v>321113.504955781</v>
      </c>
      <c r="X39" s="5" t="n">
        <f aca="false">X38*Plan_Supuestos!$B$11</f>
        <v>349593.666480504</v>
      </c>
      <c r="Y39" s="5" t="n">
        <f aca="false">Y38*Plan_Supuestos!$B$11</f>
        <v>380599.618993448</v>
      </c>
    </row>
    <row r="40" customFormat="false" ht="15" hidden="false" customHeight="false" outlineLevel="0" collapsed="false">
      <c r="A40" s="4" t="s">
        <v>162</v>
      </c>
      <c r="B40" s="5" t="n">
        <f aca="false">0</f>
        <v>0</v>
      </c>
      <c r="C40" s="5" t="n">
        <f aca="false">C39-B39</f>
        <v>4312.61846300444</v>
      </c>
      <c r="D40" s="5" t="n">
        <f aca="false">D39-C39</f>
        <v>4996.66299004411</v>
      </c>
      <c r="E40" s="5" t="n">
        <f aca="false">E39-D39</f>
        <v>5775.52417838754</v>
      </c>
      <c r="F40" s="5" t="n">
        <f aca="false">F39-E39</f>
        <v>6661.56969235702</v>
      </c>
      <c r="G40" s="5" t="n">
        <f aca="false">G39-F39</f>
        <v>7668.73532278728</v>
      </c>
      <c r="H40" s="5" t="n">
        <f aca="false">H39-G39</f>
        <v>8812.72189515824</v>
      </c>
      <c r="I40" s="5" t="n">
        <f aca="false">I39-H39</f>
        <v>10111.2169874031</v>
      </c>
      <c r="J40" s="5" t="n">
        <f aca="false">J39-I39</f>
        <v>11584.1446277655</v>
      </c>
      <c r="K40" s="5" t="n">
        <f aca="false">K39-J39</f>
        <v>13253.9465580031</v>
      </c>
      <c r="L40" s="5" t="n">
        <f aca="false">L39-K39</f>
        <v>15145.8991183007</v>
      </c>
      <c r="M40" s="5" t="n">
        <f aca="false">M39-L39</f>
        <v>17288.47034538</v>
      </c>
      <c r="N40" s="5" t="n">
        <f aca="false">N39-M39</f>
        <v>12343.4751526204</v>
      </c>
      <c r="O40" s="5" t="n">
        <f aca="false">O39-N39</f>
        <v>13751.5698691265</v>
      </c>
      <c r="P40" s="5" t="n">
        <f aca="false">P39-O39</f>
        <v>15165.416120571</v>
      </c>
      <c r="Q40" s="5" t="n">
        <f aca="false">Q39-P39</f>
        <v>16727.3654240385</v>
      </c>
      <c r="R40" s="5" t="n">
        <f aca="false">R39-Q39</f>
        <v>18453.2864420312</v>
      </c>
      <c r="S40" s="5" t="n">
        <f aca="false">S39-R39</f>
        <v>20360.7953780987</v>
      </c>
      <c r="T40" s="5" t="n">
        <f aca="false">T39-S39</f>
        <v>22469.4549355347</v>
      </c>
      <c r="U40" s="5" t="n">
        <f aca="false">U39-T39</f>
        <v>24800.9968555656</v>
      </c>
      <c r="V40" s="5" t="n">
        <f aca="false">V39-U39</f>
        <v>27379.5709666823</v>
      </c>
      <c r="W40" s="5" t="n">
        <f aca="false">W39-V39</f>
        <v>26160.1094117685</v>
      </c>
      <c r="X40" s="5" t="n">
        <f aca="false">X39-W39</f>
        <v>28480.1615247226</v>
      </c>
      <c r="Y40" s="5" t="n">
        <f aca="false">Y39-X39</f>
        <v>31005.9525129439</v>
      </c>
    </row>
    <row r="41" customFormat="false" ht="15" hidden="false" customHeight="false" outlineLevel="0" collapsed="false">
      <c r="A41" s="4" t="s">
        <v>163</v>
      </c>
      <c r="B41" s="5" t="n">
        <f aca="false">B32-B40</f>
        <v>8001.25280530165</v>
      </c>
      <c r="C41" s="5" t="n">
        <f aca="false">C32-C40</f>
        <v>6744.18357591471</v>
      </c>
      <c r="D41" s="5" t="n">
        <f aca="false">D32-D40</f>
        <v>9516.26417800487</v>
      </c>
      <c r="E41" s="5" t="n">
        <f aca="false">E32-E40</f>
        <v>12645.1864122599</v>
      </c>
      <c r="F41" s="5" t="n">
        <f aca="false">F32-F40</f>
        <v>16176.0913110923</v>
      </c>
      <c r="G41" s="5" t="n">
        <f aca="false">G32-G40</f>
        <v>20159.7840702378</v>
      </c>
      <c r="H41" s="5" t="n">
        <f aca="false">H32-H40</f>
        <v>24164.7575870067</v>
      </c>
      <c r="I41" s="5" t="n">
        <f aca="false">I32-I40</f>
        <v>28627.6067795366</v>
      </c>
      <c r="J41" s="5" t="n">
        <f aca="false">J32-J40</f>
        <v>33600.2556695403</v>
      </c>
      <c r="K41" s="5" t="n">
        <f aca="false">K32-K40</f>
        <v>39140.5281360375</v>
      </c>
      <c r="L41" s="5" t="n">
        <f aca="false">L32-L40</f>
        <v>45312.8262083351</v>
      </c>
      <c r="M41" s="5" t="n">
        <f aca="false">M32-M40</f>
        <v>52188.888068732</v>
      </c>
      <c r="N41" s="5" t="n">
        <f aca="false">N32-N40</f>
        <v>66360.4230762173</v>
      </c>
      <c r="O41" s="5" t="n">
        <f aca="false">O32-O40</f>
        <v>73776.1518316491</v>
      </c>
      <c r="P41" s="5" t="n">
        <f aca="false">P32-P40</f>
        <v>82020.5733502896</v>
      </c>
      <c r="Q41" s="5" t="n">
        <f aca="false">Q32-Q40</f>
        <v>91030.9904852205</v>
      </c>
      <c r="R41" s="5" t="n">
        <f aca="false">R32-R40</f>
        <v>100878.937556128</v>
      </c>
      <c r="S41" s="5" t="n">
        <f aca="false">S32-S40</f>
        <v>111642.730521215</v>
      </c>
      <c r="T41" s="5" t="n">
        <f aca="false">T32-T40</f>
        <v>123408.131959436</v>
      </c>
      <c r="U41" s="5" t="n">
        <f aca="false">U32-U40</f>
        <v>136269.085553956</v>
      </c>
      <c r="V41" s="5" t="n">
        <f aca="false">V32-V40</f>
        <v>150328.528111224</v>
      </c>
      <c r="W41" s="5" t="n">
        <f aca="false">W32-W40</f>
        <v>165983.670017534</v>
      </c>
      <c r="X41" s="5" t="n">
        <f aca="false">X32-X40</f>
        <v>179060.326333182</v>
      </c>
      <c r="Y41" s="5" t="n">
        <f aca="false">Y32-Y40</f>
        <v>192939.146825458</v>
      </c>
    </row>
    <row r="42" customFormat="false" ht="15" hidden="false" customHeight="false" outlineLevel="0" collapsed="false">
      <c r="A42" s="8" t="s">
        <v>164</v>
      </c>
      <c r="B42" s="18" t="n">
        <f aca="false">B41</f>
        <v>8001.25280530165</v>
      </c>
      <c r="C42" s="18" t="n">
        <f aca="false">B42+C41</f>
        <v>14745.4363812164</v>
      </c>
      <c r="D42" s="18" t="n">
        <f aca="false">C42+D41</f>
        <v>24261.7005592212</v>
      </c>
      <c r="E42" s="18" t="n">
        <f aca="false">D42+E41</f>
        <v>36906.8869714811</v>
      </c>
      <c r="F42" s="18" t="n">
        <f aca="false">E42+F41</f>
        <v>53082.9782825734</v>
      </c>
      <c r="G42" s="18" t="n">
        <f aca="false">F42+G41</f>
        <v>73242.7623528112</v>
      </c>
      <c r="H42" s="18" t="n">
        <f aca="false">G42+H41</f>
        <v>97407.5199398179</v>
      </c>
      <c r="I42" s="18" t="n">
        <f aca="false">H42+I41</f>
        <v>126035.126719355</v>
      </c>
      <c r="J42" s="18" t="n">
        <f aca="false">I42+J41</f>
        <v>159635.382388895</v>
      </c>
      <c r="K42" s="18" t="n">
        <f aca="false">J42+K41</f>
        <v>198775.910524932</v>
      </c>
      <c r="L42" s="18" t="n">
        <f aca="false">K42+L41</f>
        <v>244088.736733267</v>
      </c>
      <c r="M42" s="18" t="n">
        <f aca="false">L42+M41</f>
        <v>296277.624801999</v>
      </c>
      <c r="N42" s="18" t="n">
        <f aca="false">M42+N41</f>
        <v>362638.047878217</v>
      </c>
      <c r="O42" s="18" t="n">
        <f aca="false">N42+O41</f>
        <v>436414.199709866</v>
      </c>
      <c r="P42" s="18" t="n">
        <f aca="false">O42+P41</f>
        <v>518434.773060155</v>
      </c>
      <c r="Q42" s="18" t="n">
        <f aca="false">P42+Q41</f>
        <v>609465.763545376</v>
      </c>
      <c r="R42" s="18" t="n">
        <f aca="false">Q42+R41</f>
        <v>710344.701101503</v>
      </c>
      <c r="S42" s="18" t="n">
        <f aca="false">R42+S41</f>
        <v>821987.431622718</v>
      </c>
      <c r="T42" s="18" t="n">
        <f aca="false">S42+T41</f>
        <v>945395.563582154</v>
      </c>
      <c r="U42" s="18" t="n">
        <f aca="false">T42+U41</f>
        <v>1081664.64913611</v>
      </c>
      <c r="V42" s="18" t="n">
        <f aca="false">U42+V41</f>
        <v>1231993.17724733</v>
      </c>
      <c r="W42" s="18" t="n">
        <f aca="false">V42+W41</f>
        <v>1397976.84726487</v>
      </c>
      <c r="X42" s="18" t="n">
        <f aca="false">W42+X41</f>
        <v>1577037.17359805</v>
      </c>
      <c r="Y42" s="18" t="n">
        <f aca="false">X42+Y41</f>
        <v>1769976.32042351</v>
      </c>
    </row>
    <row r="43" customFormat="false" ht="15" hidden="false" customHeight="false" outlineLevel="0" collapsed="false">
      <c r="A43" s="4" t="s">
        <v>165</v>
      </c>
      <c r="B43" s="5" t="n">
        <f aca="false">B12*(B17+B18)</f>
        <v>151.269230769231</v>
      </c>
      <c r="C43" s="5" t="n">
        <f aca="false">C12*(C17+C18)</f>
        <v>164.919642919874</v>
      </c>
      <c r="D43" s="5" t="n">
        <f aca="false">D12*(D17+D18)</f>
        <v>179.806633516215</v>
      </c>
      <c r="E43" s="5" t="n">
        <f aca="false">E12*(E17+E18)</f>
        <v>196.042802707071</v>
      </c>
      <c r="F43" s="5" t="n">
        <f aca="false">F12*(F17+F18)</f>
        <v>213.751075804196</v>
      </c>
      <c r="G43" s="5" t="n">
        <f aca="false">G12*(G17+G18)</f>
        <v>233.065659263616</v>
      </c>
      <c r="H43" s="5" t="n">
        <f aca="false">H12*(H17+H18)</f>
        <v>254.133086384247</v>
      </c>
      <c r="I43" s="5" t="n">
        <f aca="false">I12*(I17+I18)</f>
        <v>277.113361306453</v>
      </c>
      <c r="J43" s="5" t="n">
        <f aca="false">J12*(J17+J18)</f>
        <v>302.181210736998</v>
      </c>
      <c r="K43" s="5" t="n">
        <f aca="false">K12*(K17+K18)</f>
        <v>329.527453756727</v>
      </c>
      <c r="L43" s="5" t="n">
        <f aca="false">L12*(L17+L18)</f>
        <v>359.360501092803</v>
      </c>
      <c r="M43" s="5" t="n">
        <f aca="false">M12*(M17+M18)</f>
        <v>391.907996368592</v>
      </c>
      <c r="N43" s="5" t="n">
        <f aca="false">N12*(N17+N18)</f>
        <v>431.524021329793</v>
      </c>
      <c r="O43" s="5" t="n">
        <f aca="false">O12*(O17+O18)</f>
        <v>475.205997105394</v>
      </c>
      <c r="P43" s="5" t="n">
        <f aca="false">P12*(P17+P18)</f>
        <v>523.37892542253</v>
      </c>
      <c r="Q43" s="5" t="n">
        <f aca="false">Q12*(Q17+Q18)</f>
        <v>576.513224229057</v>
      </c>
      <c r="R43" s="5" t="n">
        <f aca="false">R12*(R17+R18)</f>
        <v>635.129712631148</v>
      </c>
      <c r="S43" s="5" t="n">
        <f aca="false">S12*(S17+S18)</f>
        <v>699.805161033879</v>
      </c>
      <c r="T43" s="5" t="n">
        <f aca="false">T12*(T17+T18)</f>
        <v>771.178473128025</v>
      </c>
      <c r="U43" s="5" t="n">
        <f aca="false">U12*(U17+U18)</f>
        <v>849.957574600283</v>
      </c>
      <c r="V43" s="5" t="n">
        <f aca="false">V12*(V17+V18)</f>
        <v>936.927092752826</v>
      </c>
      <c r="W43" s="5" t="n">
        <f aca="false">W12*(W17+W18)</f>
        <v>1020.04496022904</v>
      </c>
      <c r="X43" s="5" t="n">
        <f aca="false">X12*(X17+X18)</f>
        <v>1110.53648564218</v>
      </c>
      <c r="Y43" s="5" t="n">
        <f aca="false">Y12*(Y17+Y18)</f>
        <v>1209.05581031013</v>
      </c>
    </row>
    <row r="44" customFormat="false" ht="15" hidden="false" customHeight="false" outlineLevel="0" collapsed="false">
      <c r="A44" s="4" t="s">
        <v>166</v>
      </c>
      <c r="B44" s="5" t="n">
        <f aca="false">B12*(B17*Plan_Supuestos!$I$30+B18*Plan_Supuestos!$I$31)+B14</f>
        <v>200.028461538462</v>
      </c>
      <c r="C44" s="5" t="n">
        <f aca="false">C12*(C17*Plan_Supuestos!$I$30+C18*Plan_Supuestos!$I$31)+C14</f>
        <v>217.536220260646</v>
      </c>
      <c r="D44" s="5" t="n">
        <f aca="false">D12*(D17*Plan_Supuestos!$I$30+D18*Plan_Supuestos!$I$31)+D14</f>
        <v>236.641668182084</v>
      </c>
      <c r="E44" s="5" t="n">
        <f aca="false">E12*(E17*Plan_Supuestos!$I$30+E18*Plan_Supuestos!$I$31)+E14</f>
        <v>257.491582198802</v>
      </c>
      <c r="F44" s="5" t="n">
        <f aca="false">F12*(F17*Plan_Supuestos!$I$30+F18*Plan_Supuestos!$I$31)+F14</f>
        <v>280.246344503497</v>
      </c>
      <c r="G44" s="5" t="n">
        <f aca="false">G12*(G17*Plan_Supuestos!$I$30+G18*Plan_Supuestos!$I$31)+G14</f>
        <v>305.081219104828</v>
      </c>
      <c r="H44" s="5" t="n">
        <f aca="false">H12*(H17*Plan_Supuestos!$I$30+H18*Plan_Supuestos!$I$31)+H14</f>
        <v>332.187750125889</v>
      </c>
      <c r="I44" s="5" t="n">
        <f aca="false">I12*(I17*Plan_Supuestos!$I$30+I18*Plan_Supuestos!$I$31)+I14</f>
        <v>361.775293769407</v>
      </c>
      <c r="J44" s="5" t="n">
        <f aca="false">J12*(J17*Plan_Supuestos!$I$30+J18*Plan_Supuestos!$I$31)+J14</f>
        <v>394.072697035024</v>
      </c>
      <c r="K44" s="5" t="n">
        <f aca="false">K12*(K17*Plan_Supuestos!$I$30+K18*Plan_Supuestos!$I$31)+K14</f>
        <v>429.3301375977</v>
      </c>
      <c r="L44" s="5" t="n">
        <f aca="false">L12*(L17*Plan_Supuestos!$I$30+L18*Plan_Supuestos!$I$31)+L14</f>
        <v>467.821140720104</v>
      </c>
      <c r="M44" s="5" t="n">
        <f aca="false">M12*(M17*Plan_Supuestos!$I$30+M18*Plan_Supuestos!$I$31)+M14</f>
        <v>509.844790691345</v>
      </c>
      <c r="N44" s="5" t="n">
        <f aca="false">N12*(N17*Plan_Supuestos!$I$30+N18*Plan_Supuestos!$I$31)+N14</f>
        <v>572.562338269043</v>
      </c>
      <c r="O44" s="5" t="n">
        <f aca="false">O12*(O17*Plan_Supuestos!$I$30+O18*Plan_Supuestos!$I$31)+O14</f>
        <v>630.49224701959</v>
      </c>
      <c r="P44" s="5" t="n">
        <f aca="false">P12*(P17*Plan_Supuestos!$I$30+P18*Plan_Supuestos!$I$31)+P14</f>
        <v>694.374393192885</v>
      </c>
      <c r="Q44" s="5" t="n">
        <f aca="false">Q12*(Q17*Plan_Supuestos!$I$30+Q18*Plan_Supuestos!$I$31)+Q14</f>
        <v>764.831816651209</v>
      </c>
      <c r="R44" s="5" t="n">
        <f aca="false">R12*(R17*Plan_Supuestos!$I$30+R18*Plan_Supuestos!$I$31)+R14</f>
        <v>842.554253364761</v>
      </c>
      <c r="S44" s="5" t="n">
        <f aca="false">S12*(S17*Plan_Supuestos!$I$30+S18*Plan_Supuestos!$I$31)+S14</f>
        <v>928.305472395318</v>
      </c>
      <c r="T44" s="5" t="n">
        <f aca="false">T12*(T17*Plan_Supuestos!$I$30+T18*Plan_Supuestos!$I$31)+T14</f>
        <v>1022.93144712155</v>
      </c>
      <c r="U44" s="5" t="n">
        <f aca="false">U12*(U17*Plan_Supuestos!$I$30+U18*Plan_Supuestos!$I$31)+U14</f>
        <v>1127.36945942489</v>
      </c>
      <c r="V44" s="5" t="n">
        <f aca="false">V12*(V17*Plan_Supuestos!$I$30+V18*Plan_Supuestos!$I$31)+V14</f>
        <v>1242.65824780702</v>
      </c>
      <c r="W44" s="5" t="n">
        <f aca="false">W12*(W17*Plan_Supuestos!$I$30+W18*Plan_Supuestos!$I$31)+W14</f>
        <v>1353.38898292281</v>
      </c>
      <c r="X44" s="5" t="n">
        <f aca="false">X12*(X17*Plan_Supuestos!$I$30+X18*Plan_Supuestos!$I$31)+X14</f>
        <v>1473.99837974252</v>
      </c>
      <c r="Y44" s="5" t="n">
        <f aca="false">Y12*(Y17*Plan_Supuestos!$I$30+Y18*Plan_Supuestos!$I$31)+Y14</f>
        <v>1605.36920736779</v>
      </c>
    </row>
    <row r="45" customFormat="false" ht="15" hidden="false" customHeight="false" outlineLevel="0" collapsed="false">
      <c r="A45" s="4" t="s">
        <v>167</v>
      </c>
      <c r="B45" s="5" t="n">
        <f aca="false">B12*(Plan_Supuestos!$B$43+(Plan_Supuestos!$B$44-Plan_Supuestos!$B$43)*B16)*Plan_Supuestos!$J$35</f>
        <v>12.7384615384615</v>
      </c>
      <c r="C45" s="5" t="n">
        <f aca="false">C12*(Plan_Supuestos!$B$43+(Plan_Supuestos!$B$44-Plan_Supuestos!$B$43)*C16)*Plan_Supuestos!$J$35</f>
        <v>15.9188844517253</v>
      </c>
      <c r="D45" s="5" t="n">
        <f aca="false">D12*(Plan_Supuestos!$B$43+(Plan_Supuestos!$B$44-Plan_Supuestos!$B$43)*D16)*Plan_Supuestos!$J$35</f>
        <v>19.6089025840468</v>
      </c>
      <c r="E45" s="5" t="n">
        <f aca="false">E12*(Plan_Supuestos!$B$43+(Plan_Supuestos!$B$44-Plan_Supuestos!$B$43)*E16)*Plan_Supuestos!$J$35</f>
        <v>23.8794769505666</v>
      </c>
      <c r="F45" s="5" t="n">
        <f aca="false">F12*(Plan_Supuestos!$B$43+(Plan_Supuestos!$B$44-Plan_Supuestos!$B$43)*F16)*Plan_Supuestos!$J$35</f>
        <v>28.8108486713287</v>
      </c>
      <c r="G45" s="5" t="n">
        <f aca="false">G12*(Plan_Supuestos!$B$43+(Plan_Supuestos!$B$44-Plan_Supuestos!$B$43)*G16)*Plan_Supuestos!$J$35</f>
        <v>34.4937175710152</v>
      </c>
      <c r="H45" s="5" t="n">
        <f aca="false">H12*(Plan_Supuestos!$B$43+(Plan_Supuestos!$B$44-Plan_Supuestos!$B$43)*H16)*Plan_Supuestos!$J$35</f>
        <v>41.0305689419571</v>
      </c>
      <c r="I45" s="5" t="n">
        <f aca="false">I12*(Plan_Supuestos!$B$43+(Plan_Supuestos!$B$44-Plan_Supuestos!$B$43)*I16)*Plan_Supuestos!$J$35</f>
        <v>48.5371671534724</v>
      </c>
      <c r="J45" s="5" t="n">
        <f aca="false">J12*(Plan_Supuestos!$B$43+(Plan_Supuestos!$B$44-Plan_Supuestos!$B$43)*J16)*Plan_Supuestos!$J$35</f>
        <v>57.1442371794529</v>
      </c>
      <c r="K45" s="5" t="n">
        <f aca="false">K12*(Plan_Supuestos!$B$43+(Plan_Supuestos!$B$44-Plan_Supuestos!$B$43)*K16)*Plan_Supuestos!$J$35</f>
        <v>66.9993578177578</v>
      </c>
      <c r="L45" s="5" t="n">
        <f aca="false">L12*(Plan_Supuestos!$B$43+(Plan_Supuestos!$B$44-Plan_Supuestos!$B$43)*L16)*Plan_Supuestos!$J$35</f>
        <v>78.2690934317308</v>
      </c>
      <c r="M45" s="5" t="n">
        <f aca="false">M12*(Plan_Supuestos!$B$43+(Plan_Supuestos!$B$44-Plan_Supuestos!$B$43)*M16)*Plan_Supuestos!$J$35</f>
        <v>91.1413945043237</v>
      </c>
      <c r="N45" s="5" t="n">
        <f aca="false">N12*(Plan_Supuestos!$B$43+(Plan_Supuestos!$B$44-Plan_Supuestos!$B$43)*N16)*Plan_Supuestos!$J$35</f>
        <v>100.354423565068</v>
      </c>
      <c r="O45" s="5" t="n">
        <f aca="false">O12*(Plan_Supuestos!$B$43+(Plan_Supuestos!$B$44-Plan_Supuestos!$B$43)*O16)*Plan_Supuestos!$J$35</f>
        <v>110.51302258265</v>
      </c>
      <c r="P45" s="5" t="n">
        <f aca="false">P12*(Plan_Supuestos!$B$43+(Plan_Supuestos!$B$44-Plan_Supuestos!$B$43)*P16)*Plan_Supuestos!$J$35</f>
        <v>121.71602916803</v>
      </c>
      <c r="Q45" s="5" t="n">
        <f aca="false">Q12*(Plan_Supuestos!$B$43+(Plan_Supuestos!$B$44-Plan_Supuestos!$B$43)*Q16)*Plan_Supuestos!$J$35</f>
        <v>134.072842843967</v>
      </c>
      <c r="R45" s="5" t="n">
        <f aca="false">R12*(Plan_Supuestos!$B$43+(Plan_Supuestos!$B$44-Plan_Supuestos!$B$43)*R16)*Plan_Supuestos!$J$35</f>
        <v>147.704584332825</v>
      </c>
      <c r="S45" s="5" t="n">
        <f aca="false">S12*(Plan_Supuestos!$B$43+(Plan_Supuestos!$B$44-Plan_Supuestos!$B$43)*S16)*Plan_Supuestos!$J$35</f>
        <v>162.745386286948</v>
      </c>
      <c r="T45" s="5" t="n">
        <f aca="false">T12*(Plan_Supuestos!$B$43+(Plan_Supuestos!$B$44-Plan_Supuestos!$B$43)*T16)*Plan_Supuestos!$J$35</f>
        <v>179.343830960006</v>
      </c>
      <c r="U45" s="5" t="n">
        <f aca="false">U12*(Plan_Supuestos!$B$43+(Plan_Supuestos!$B$44-Plan_Supuestos!$B$43)*U16)*Plan_Supuestos!$J$35</f>
        <v>197.664552232624</v>
      </c>
      <c r="V45" s="5" t="n">
        <f aca="false">V12*(Plan_Supuestos!$B$43+(Plan_Supuestos!$B$44-Plan_Supuestos!$B$43)*V16)*Plan_Supuestos!$J$35</f>
        <v>217.890021570425</v>
      </c>
      <c r="W45" s="5" t="n">
        <f aca="false">W12*(Plan_Supuestos!$B$43+(Plan_Supuestos!$B$44-Plan_Supuestos!$B$43)*W16)*Plan_Supuestos!$J$35</f>
        <v>237.219758192801</v>
      </c>
      <c r="X45" s="5" t="n">
        <f aca="false">X12*(Plan_Supuestos!$B$43+(Plan_Supuestos!$B$44-Plan_Supuestos!$B$43)*X16)*Plan_Supuestos!$J$35</f>
        <v>258.264298986554</v>
      </c>
      <c r="Y45" s="5" t="n">
        <f aca="false">Y12*(Plan_Supuestos!$B$43+(Plan_Supuestos!$B$44-Plan_Supuestos!$B$43)*Y16)*Plan_Supuestos!$J$35</f>
        <v>281.175769839564</v>
      </c>
    </row>
    <row r="46" customFormat="false" ht="15" hidden="false" customHeight="false" outlineLevel="0" collapsed="false">
      <c r="A46" s="4" t="s">
        <v>168</v>
      </c>
      <c r="B46" s="5" t="n">
        <f aca="false">B12*B19</f>
        <v>4.77692307692308</v>
      </c>
      <c r="C46" s="5" t="n">
        <f aca="false">C12*C19</f>
        <v>5.7307984026211</v>
      </c>
      <c r="D46" s="5" t="n">
        <f aca="false">D12*D19</f>
        <v>6.82810000694488</v>
      </c>
      <c r="E46" s="5" t="n">
        <f aca="false">E12*E19</f>
        <v>8.08820993486935</v>
      </c>
      <c r="F46" s="5" t="n">
        <f aca="false">F12*F19</f>
        <v>9.5330013986014</v>
      </c>
      <c r="G46" s="5" t="n">
        <f aca="false">G12*G19</f>
        <v>11.1871516446536</v>
      </c>
      <c r="H46" s="5" t="n">
        <f aca="false">H12*H19</f>
        <v>13.0784938502488</v>
      </c>
      <c r="I46" s="5" t="n">
        <f aca="false">I12*I19</f>
        <v>15.238412943532</v>
      </c>
      <c r="J46" s="5" t="n">
        <f aca="false">J12*J19</f>
        <v>17.702290865374</v>
      </c>
      <c r="K46" s="5" t="n">
        <f aca="false">K12*K19</f>
        <v>20.510007495232</v>
      </c>
      <c r="L46" s="5" t="n">
        <f aca="false">L12*L19</f>
        <v>23.7065042605723</v>
      </c>
      <c r="M46" s="5" t="n">
        <f aca="false">M12*M19</f>
        <v>27.3424183512971</v>
      </c>
      <c r="N46" s="5" t="n">
        <f aca="false">N12*N19</f>
        <v>30.1063270695204</v>
      </c>
      <c r="O46" s="5" t="n">
        <f aca="false">O12*O19</f>
        <v>33.1539067747949</v>
      </c>
      <c r="P46" s="5" t="n">
        <f aca="false">P12*P19</f>
        <v>36.5148087504091</v>
      </c>
      <c r="Q46" s="5" t="n">
        <f aca="false">Q12*Q19</f>
        <v>40.22185285319</v>
      </c>
      <c r="R46" s="5" t="n">
        <f aca="false">R12*R19</f>
        <v>44.3113752998475</v>
      </c>
      <c r="S46" s="5" t="n">
        <f aca="false">S12*S19</f>
        <v>48.8236158860845</v>
      </c>
      <c r="T46" s="5" t="n">
        <f aca="false">T12*T19</f>
        <v>53.8031492880018</v>
      </c>
      <c r="U46" s="5" t="n">
        <f aca="false">U12*U19</f>
        <v>59.2993656697872</v>
      </c>
      <c r="V46" s="5" t="n">
        <f aca="false">V12*V19</f>
        <v>65.3670064711274</v>
      </c>
      <c r="W46" s="5" t="n">
        <f aca="false">W12*W19</f>
        <v>71.1659274578402</v>
      </c>
      <c r="X46" s="5" t="n">
        <f aca="false">X12*X19</f>
        <v>77.4792896959661</v>
      </c>
      <c r="Y46" s="5" t="n">
        <f aca="false">Y12*Y19</f>
        <v>84.3527309518693</v>
      </c>
    </row>
    <row r="47" customFormat="false" ht="15" hidden="false" customHeight="false" outlineLevel="0" collapsed="false">
      <c r="A47" s="4" t="s">
        <v>169</v>
      </c>
      <c r="B47" s="5" t="n">
        <f aca="false">B12*B20</f>
        <v>3.18461538461538</v>
      </c>
      <c r="C47" s="5" t="n">
        <f aca="false">C12*C20</f>
        <v>3.50215457937956</v>
      </c>
      <c r="D47" s="5" t="n">
        <f aca="false">D12*D20</f>
        <v>3.85174872186634</v>
      </c>
      <c r="E47" s="5" t="n">
        <f aca="false">E12*E20</f>
        <v>4.23668139445537</v>
      </c>
      <c r="F47" s="5" t="n">
        <f aca="false">F12*F20</f>
        <v>4.66057846153846</v>
      </c>
      <c r="G47" s="5" t="n">
        <f aca="false">G12*G20</f>
        <v>5.12744450379956</v>
      </c>
      <c r="H47" s="5" t="n">
        <f aca="false">H12*H20</f>
        <v>5.6417032295191</v>
      </c>
      <c r="I47" s="5" t="n">
        <f aca="false">I12*I20</f>
        <v>6.20824231032787</v>
      </c>
      <c r="J47" s="5" t="n">
        <f aca="false">J12*J20</f>
        <v>6.83246314102154</v>
      </c>
      <c r="K47" s="5" t="n">
        <f aca="false">K12*K20</f>
        <v>7.52033608158506</v>
      </c>
      <c r="L47" s="5" t="n">
        <f aca="false">L12*L20</f>
        <v>8.27846180527922</v>
      </c>
      <c r="M47" s="5" t="n">
        <f aca="false">M12*M20</f>
        <v>9.11413945043237</v>
      </c>
      <c r="N47" s="5" t="n">
        <f aca="false">N12*N20</f>
        <v>10.0354423565068</v>
      </c>
      <c r="O47" s="5" t="n">
        <f aca="false">O12*O20</f>
        <v>11.051302258265</v>
      </c>
      <c r="P47" s="5" t="n">
        <f aca="false">P12*P20</f>
        <v>12.171602916803</v>
      </c>
      <c r="Q47" s="5" t="n">
        <f aca="false">Q12*Q20</f>
        <v>13.4072842843967</v>
      </c>
      <c r="R47" s="5" t="n">
        <f aca="false">R12*R20</f>
        <v>14.7704584332825</v>
      </c>
      <c r="S47" s="5" t="n">
        <f aca="false">S12*S20</f>
        <v>16.2745386286949</v>
      </c>
      <c r="T47" s="5" t="n">
        <f aca="false">T12*T20</f>
        <v>17.9343830960006</v>
      </c>
      <c r="U47" s="5" t="n">
        <f aca="false">U12*U20</f>
        <v>19.7664552232624</v>
      </c>
      <c r="V47" s="5" t="n">
        <f aca="false">V12*V20</f>
        <v>21.7890021570425</v>
      </c>
      <c r="W47" s="5" t="n">
        <f aca="false">W12*W20</f>
        <v>23.7219758192801</v>
      </c>
      <c r="X47" s="5" t="n">
        <f aca="false">X12*X20</f>
        <v>25.8264298986554</v>
      </c>
      <c r="Y47" s="5" t="n">
        <f aca="false">Y12*Y20</f>
        <v>28.1175769839564</v>
      </c>
    </row>
    <row r="48" customFormat="false" ht="15" hidden="false" customHeight="false" outlineLevel="0" collapsed="false">
      <c r="A48" s="4" t="s">
        <v>170</v>
      </c>
      <c r="B48" s="5" t="n">
        <f aca="false">B12*B21</f>
        <v>0</v>
      </c>
      <c r="C48" s="5" t="n">
        <f aca="false">C12*C21</f>
        <v>0.955133067103517</v>
      </c>
      <c r="D48" s="5" t="n">
        <f aca="false">D12*D21</f>
        <v>2.10095384829073</v>
      </c>
      <c r="E48" s="5" t="n">
        <f aca="false">E12*E21</f>
        <v>3.46637568637258</v>
      </c>
      <c r="F48" s="5" t="n">
        <f aca="false">F12*F21</f>
        <v>5.08426741258741</v>
      </c>
      <c r="G48" s="5" t="n">
        <f aca="false">G12*G21</f>
        <v>6.99196977790849</v>
      </c>
      <c r="H48" s="5" t="n">
        <f aca="false">H12*H21</f>
        <v>9.23187801194034</v>
      </c>
      <c r="I48" s="5" t="n">
        <f aca="false">I12*I21</f>
        <v>11.8520989560805</v>
      </c>
      <c r="J48" s="5" t="n">
        <f aca="false">J12*J21</f>
        <v>14.9071923076834</v>
      </c>
      <c r="K48" s="5" t="n">
        <f aca="false">K12*K21</f>
        <v>18.4590067457088</v>
      </c>
      <c r="L48" s="5" t="n">
        <f aca="false">L12*L21</f>
        <v>22.577623105307</v>
      </c>
      <c r="M48" s="5" t="n">
        <f aca="false">M12*M21</f>
        <v>27.3424183512971</v>
      </c>
      <c r="N48" s="5" t="n">
        <f aca="false">N12*N21</f>
        <v>30.1063270695204</v>
      </c>
      <c r="O48" s="5" t="n">
        <f aca="false">O12*O21</f>
        <v>33.1539067747949</v>
      </c>
      <c r="P48" s="5" t="n">
        <f aca="false">P12*P21</f>
        <v>36.5148087504091</v>
      </c>
      <c r="Q48" s="5" t="n">
        <f aca="false">Q12*Q21</f>
        <v>40.22185285319</v>
      </c>
      <c r="R48" s="5" t="n">
        <f aca="false">R12*R21</f>
        <v>44.3113752998475</v>
      </c>
      <c r="S48" s="5" t="n">
        <f aca="false">S12*S21</f>
        <v>48.8236158860845</v>
      </c>
      <c r="T48" s="5" t="n">
        <f aca="false">T12*T21</f>
        <v>53.8031492880018</v>
      </c>
      <c r="U48" s="5" t="n">
        <f aca="false">U12*U21</f>
        <v>59.2993656697872</v>
      </c>
      <c r="V48" s="5" t="n">
        <f aca="false">V12*V21</f>
        <v>65.3670064711274</v>
      </c>
      <c r="W48" s="5" t="n">
        <f aca="false">W12*W21</f>
        <v>71.1659274578402</v>
      </c>
      <c r="X48" s="5" t="n">
        <f aca="false">X12*X21</f>
        <v>77.4792896959661</v>
      </c>
      <c r="Y48" s="5" t="n">
        <f aca="false">Y12*Y21</f>
        <v>84.3527309518693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102</v>
      </c>
    </row>
    <row r="4" customFormat="false" ht="15" hidden="false" customHeight="false" outlineLevel="0" collapsed="false">
      <c r="A4" s="4" t="s">
        <v>103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104</v>
      </c>
      <c r="B5" s="3" t="s">
        <v>105</v>
      </c>
      <c r="C5" s="3" t="s">
        <v>106</v>
      </c>
      <c r="D5" s="3" t="s">
        <v>107</v>
      </c>
      <c r="E5" s="3" t="s">
        <v>108</v>
      </c>
      <c r="F5" s="3" t="s">
        <v>109</v>
      </c>
      <c r="G5" s="3" t="s">
        <v>110</v>
      </c>
      <c r="H5" s="3" t="s">
        <v>111</v>
      </c>
      <c r="I5" s="3" t="s">
        <v>112</v>
      </c>
      <c r="J5" s="3" t="s">
        <v>113</v>
      </c>
      <c r="K5" s="3" t="s">
        <v>114</v>
      </c>
      <c r="L5" s="3" t="s">
        <v>115</v>
      </c>
      <c r="M5" s="3" t="s">
        <v>116</v>
      </c>
      <c r="N5" s="3" t="s">
        <v>117</v>
      </c>
      <c r="O5" s="3" t="s">
        <v>118</v>
      </c>
      <c r="P5" s="3" t="s">
        <v>119</v>
      </c>
      <c r="Q5" s="3" t="s">
        <v>120</v>
      </c>
      <c r="R5" s="3" t="s">
        <v>121</v>
      </c>
      <c r="S5" s="3" t="s">
        <v>122</v>
      </c>
      <c r="T5" s="3" t="s">
        <v>123</v>
      </c>
      <c r="U5" s="3" t="s">
        <v>124</v>
      </c>
      <c r="V5" s="3" t="s">
        <v>125</v>
      </c>
      <c r="W5" s="3" t="s">
        <v>126</v>
      </c>
      <c r="X5" s="3" t="s">
        <v>127</v>
      </c>
      <c r="Y5" s="3" t="s">
        <v>128</v>
      </c>
    </row>
    <row r="7" customFormat="false" ht="15" hidden="false" customHeight="false" outlineLevel="0" collapsed="false">
      <c r="A7" s="4" t="s">
        <v>129</v>
      </c>
      <c r="B7" s="5" t="n">
        <f aca="false">MIN(Plan_Supuestos!$D$20,Plan_Supuestos!$B$6*(1+Plan_Supuestos!$D$19)^(B$4-1))</f>
        <v>9000</v>
      </c>
      <c r="C7" s="5" t="n">
        <f aca="false">MIN(Plan_Supuestos!$D$20,Plan_Supuestos!$B$6*(1+Plan_Supuestos!$D$19)^(C$4-1))</f>
        <v>10350</v>
      </c>
      <c r="D7" s="5" t="n">
        <f aca="false">MIN(Plan_Supuestos!$D$20,Plan_Supuestos!$B$6*(1+Plan_Supuestos!$D$19)^(D$4-1))</f>
        <v>11902.5</v>
      </c>
      <c r="E7" s="5" t="n">
        <f aca="false">MIN(Plan_Supuestos!$D$20,Plan_Supuestos!$B$6*(1+Plan_Supuestos!$D$19)^(E$4-1))</f>
        <v>13687.875</v>
      </c>
      <c r="F7" s="5" t="n">
        <f aca="false">MIN(Plan_Supuestos!$D$20,Plan_Supuestos!$B$6*(1+Plan_Supuestos!$D$19)^(F$4-1))</f>
        <v>15741.05625</v>
      </c>
      <c r="G7" s="5" t="n">
        <f aca="false">MIN(Plan_Supuestos!$D$20,Plan_Supuestos!$B$6*(1+Plan_Supuestos!$D$19)^(G$4-1))</f>
        <v>18102.2146875</v>
      </c>
      <c r="H7" s="5" t="n">
        <f aca="false">MIN(Plan_Supuestos!$D$20,Plan_Supuestos!$B$6*(1+Plan_Supuestos!$D$19)^(H$4-1))</f>
        <v>20817.546890625</v>
      </c>
      <c r="I7" s="5" t="n">
        <f aca="false">MIN(Plan_Supuestos!$D$20,Plan_Supuestos!$B$6*(1+Plan_Supuestos!$D$19)^(I$4-1))</f>
        <v>23940.1789242187</v>
      </c>
      <c r="J7" s="5" t="n">
        <f aca="false">MIN(Plan_Supuestos!$D$20,Plan_Supuestos!$B$6*(1+Plan_Supuestos!$D$19)^(J$4-1))</f>
        <v>27531.2057628515</v>
      </c>
      <c r="K7" s="5" t="n">
        <f aca="false">MIN(Plan_Supuestos!$D$20,Plan_Supuestos!$B$6*(1+Plan_Supuestos!$D$19)^(K$4-1))</f>
        <v>31660.8866272793</v>
      </c>
      <c r="L7" s="5" t="n">
        <f aca="false">MIN(Plan_Supuestos!$D$20,Plan_Supuestos!$B$6*(1+Plan_Supuestos!$D$19)^(L$4-1))</f>
        <v>36410.0196213712</v>
      </c>
      <c r="M7" s="5" t="n">
        <f aca="false">MIN(Plan_Supuestos!$D$20,Plan_Supuestos!$B$6*(1+Plan_Supuestos!$D$19)^(M$4-1))</f>
        <v>41871.5225645768</v>
      </c>
      <c r="N7" s="5" t="n">
        <f aca="false">MIN(Plan_Supuestos!$D$20,Plan_Supuestos!$B$6*(1+Plan_Supuestos!$D$19)^(N$4-1))</f>
        <v>48152.2509492634</v>
      </c>
      <c r="O7" s="5" t="n">
        <f aca="false">MIN(Plan_Supuestos!$D$20,Plan_Supuestos!$B$6*(1+Plan_Supuestos!$D$19)^(O$4-1))</f>
        <v>55375.0885916529</v>
      </c>
      <c r="P7" s="5" t="n">
        <f aca="false">MIN(Plan_Supuestos!$D$20,Plan_Supuestos!$B$6*(1+Plan_Supuestos!$D$19)^(P$4-1))</f>
        <v>63681.3518804008</v>
      </c>
      <c r="Q7" s="5" t="n">
        <f aca="false">MIN(Plan_Supuestos!$D$20,Plan_Supuestos!$B$6*(1+Plan_Supuestos!$D$19)^(Q$4-1))</f>
        <v>73233.5546624609</v>
      </c>
      <c r="R7" s="5" t="n">
        <f aca="false">MIN(Plan_Supuestos!$D$20,Plan_Supuestos!$B$6*(1+Plan_Supuestos!$D$19)^(R$4-1))</f>
        <v>84218.58786183</v>
      </c>
      <c r="S7" s="5" t="n">
        <f aca="false">MIN(Plan_Supuestos!$D$20,Plan_Supuestos!$B$6*(1+Plan_Supuestos!$D$19)^(S$4-1))</f>
        <v>96851.3760411045</v>
      </c>
      <c r="T7" s="5" t="n">
        <f aca="false">MIN(Plan_Supuestos!$D$20,Plan_Supuestos!$B$6*(1+Plan_Supuestos!$D$19)^(T$4-1))</f>
        <v>111379.08244727</v>
      </c>
      <c r="U7" s="5" t="n">
        <f aca="false">MIN(Plan_Supuestos!$D$20,Plan_Supuestos!$B$6*(1+Plan_Supuestos!$D$19)^(U$4-1))</f>
        <v>128085.944814361</v>
      </c>
      <c r="V7" s="5" t="n">
        <f aca="false">MIN(Plan_Supuestos!$D$20,Plan_Supuestos!$B$6*(1+Plan_Supuestos!$D$19)^(V$4-1))</f>
        <v>147298.836536515</v>
      </c>
      <c r="W7" s="5" t="n">
        <f aca="false">MIN(Plan_Supuestos!$D$20,Plan_Supuestos!$B$6*(1+Plan_Supuestos!$D$19)^(W$4-1))</f>
        <v>169393.662016992</v>
      </c>
      <c r="X7" s="5" t="n">
        <f aca="false">MIN(Plan_Supuestos!$D$20,Plan_Supuestos!$B$6*(1+Plan_Supuestos!$D$19)^(X$4-1))</f>
        <v>194802.711319541</v>
      </c>
      <c r="Y7" s="5" t="n">
        <f aca="false">MIN(Plan_Supuestos!$D$20,Plan_Supuestos!$B$6*(1+Plan_Supuestos!$D$19)^(Y$4-1))</f>
        <v>224023.118017472</v>
      </c>
    </row>
    <row r="8" customFormat="false" ht="15" hidden="false" customHeight="false" outlineLevel="0" collapsed="false">
      <c r="A8" s="4" t="s">
        <v>130</v>
      </c>
      <c r="B8" s="28" t="n">
        <f aca="false">MIN(Plan_Supuestos!$D$22,Plan_Supuestos!$D$21*(B$4-1))</f>
        <v>0</v>
      </c>
      <c r="C8" s="28" t="n">
        <f aca="false">MIN(Plan_Supuestos!$D$22,Plan_Supuestos!$D$21*(C$4-1))</f>
        <v>0.015</v>
      </c>
      <c r="D8" s="28" t="n">
        <f aca="false">MIN(Plan_Supuestos!$D$22,Plan_Supuestos!$D$21*(D$4-1))</f>
        <v>0.03</v>
      </c>
      <c r="E8" s="28" t="n">
        <f aca="false">MIN(Plan_Supuestos!$D$22,Plan_Supuestos!$D$21*(E$4-1))</f>
        <v>0.045</v>
      </c>
      <c r="F8" s="28" t="n">
        <f aca="false">MIN(Plan_Supuestos!$D$22,Plan_Supuestos!$D$21*(F$4-1))</f>
        <v>0.06</v>
      </c>
      <c r="G8" s="28" t="n">
        <f aca="false">MIN(Plan_Supuestos!$D$22,Plan_Supuestos!$D$21*(G$4-1))</f>
        <v>0.075</v>
      </c>
      <c r="H8" s="28" t="n">
        <f aca="false">MIN(Plan_Supuestos!$D$22,Plan_Supuestos!$D$21*(H$4-1))</f>
        <v>0.09</v>
      </c>
      <c r="I8" s="28" t="n">
        <f aca="false">MIN(Plan_Supuestos!$D$22,Plan_Supuestos!$D$21*(I$4-1))</f>
        <v>0.105</v>
      </c>
      <c r="J8" s="28" t="n">
        <f aca="false">MIN(Plan_Supuestos!$D$22,Plan_Supuestos!$D$21*(J$4-1))</f>
        <v>0.12</v>
      </c>
      <c r="K8" s="28" t="n">
        <f aca="false">MIN(Plan_Supuestos!$D$22,Plan_Supuestos!$D$21*(K$4-1))</f>
        <v>0.135</v>
      </c>
      <c r="L8" s="28" t="n">
        <f aca="false">MIN(Plan_Supuestos!$D$22,Plan_Supuestos!$D$21*(L$4-1))</f>
        <v>0.15</v>
      </c>
      <c r="M8" s="28" t="n">
        <f aca="false">MIN(Plan_Supuestos!$D$22,Plan_Supuestos!$D$21*(M$4-1))</f>
        <v>0.165</v>
      </c>
      <c r="N8" s="28" t="n">
        <f aca="false">MIN(Plan_Supuestos!$D$22,Plan_Supuestos!$D$21*(N$4-1))</f>
        <v>0.18</v>
      </c>
      <c r="O8" s="28" t="n">
        <f aca="false">MIN(Plan_Supuestos!$D$22,Plan_Supuestos!$D$21*(O$4-1))</f>
        <v>0.195</v>
      </c>
      <c r="P8" s="28" t="n">
        <f aca="false">MIN(Plan_Supuestos!$D$22,Plan_Supuestos!$D$21*(P$4-1))</f>
        <v>0.21</v>
      </c>
      <c r="Q8" s="28" t="n">
        <f aca="false">MIN(Plan_Supuestos!$D$22,Plan_Supuestos!$D$21*(Q$4-1))</f>
        <v>0.225</v>
      </c>
      <c r="R8" s="28" t="n">
        <f aca="false">MIN(Plan_Supuestos!$D$22,Plan_Supuestos!$D$21*(R$4-1))</f>
        <v>0.24</v>
      </c>
      <c r="S8" s="28" t="n">
        <f aca="false">MIN(Plan_Supuestos!$D$22,Plan_Supuestos!$D$21*(S$4-1))</f>
        <v>0.25</v>
      </c>
      <c r="T8" s="28" t="n">
        <f aca="false">MIN(Plan_Supuestos!$D$22,Plan_Supuestos!$D$21*(T$4-1))</f>
        <v>0.25</v>
      </c>
      <c r="U8" s="28" t="n">
        <f aca="false">MIN(Plan_Supuestos!$D$22,Plan_Supuestos!$D$21*(U$4-1))</f>
        <v>0.25</v>
      </c>
      <c r="V8" s="28" t="n">
        <f aca="false">MIN(Plan_Supuestos!$D$22,Plan_Supuestos!$D$21*(V$4-1))</f>
        <v>0.25</v>
      </c>
      <c r="W8" s="28" t="n">
        <f aca="false">MIN(Plan_Supuestos!$D$22,Plan_Supuestos!$D$21*(W$4-1))</f>
        <v>0.25</v>
      </c>
      <c r="X8" s="28" t="n">
        <f aca="false">MIN(Plan_Supuestos!$D$22,Plan_Supuestos!$D$21*(X$4-1))</f>
        <v>0.25</v>
      </c>
      <c r="Y8" s="28" t="n">
        <f aca="false">MIN(Plan_Supuestos!$D$22,Plan_Supuestos!$D$21*(Y$4-1))</f>
        <v>0.25</v>
      </c>
    </row>
    <row r="9" customFormat="false" ht="15" hidden="false" customHeight="false" outlineLevel="0" collapsed="false">
      <c r="A9" s="4" t="s">
        <v>131</v>
      </c>
      <c r="B9" s="6" t="n">
        <f aca="false">Plan_Supuestos!$D$17*(B7/Plan_Supuestos!$B$6)^Plan_Supuestos!$D$18*(1-B8)</f>
        <v>55</v>
      </c>
      <c r="C9" s="6" t="n">
        <f aca="false">Plan_Supuestos!$D$17*(C7/Plan_Supuestos!$B$6)^Plan_Supuestos!$D$18*(1-C8)</f>
        <v>55.3227291125676</v>
      </c>
      <c r="D9" s="6" t="n">
        <f aca="false">Plan_Supuestos!$D$17*(D7/Plan_Supuestos!$B$6)^Plan_Supuestos!$D$18*(1-D8)</f>
        <v>55.6344470381737</v>
      </c>
      <c r="E9" s="6" t="n">
        <f aca="false">Plan_Supuestos!$D$17*(E7/Plan_Supuestos!$B$6)^Plan_Supuestos!$D$18*(1-E8)</f>
        <v>55.934542369725</v>
      </c>
      <c r="F9" s="6" t="n">
        <f aca="false">Plan_Supuestos!$D$17*(F7/Plan_Supuestos!$B$6)^Plan_Supuestos!$D$18*(1-F8)</f>
        <v>56.2223827362342</v>
      </c>
      <c r="G9" s="6" t="n">
        <f aca="false">Plan_Supuestos!$D$17*(G7/Plan_Supuestos!$B$6)^Plan_Supuestos!$D$18*(1-G8)</f>
        <v>56.4973141889719</v>
      </c>
      <c r="H9" s="6" t="n">
        <f aca="false">Plan_Supuestos!$D$17*(H7/Plan_Supuestos!$B$6)^Plan_Supuestos!$D$18*(1-H8)</f>
        <v>56.7586605710193</v>
      </c>
      <c r="I9" s="6" t="n">
        <f aca="false">Plan_Supuestos!$D$17*(I7/Plan_Supuestos!$B$6)^Plan_Supuestos!$D$18*(1-I8)</f>
        <v>57.005722869792</v>
      </c>
      <c r="J9" s="6" t="n">
        <f aca="false">Plan_Supuestos!$D$17*(J7/Plan_Supuestos!$B$6)^Plan_Supuestos!$D$18*(1-J8)</f>
        <v>57.2377785520979</v>
      </c>
      <c r="K9" s="6" t="n">
        <f aca="false">Plan_Supuestos!$D$17*(K7/Plan_Supuestos!$B$6)^Plan_Supuestos!$D$18*(1-K8)</f>
        <v>57.4540808812783</v>
      </c>
      <c r="L9" s="6" t="n">
        <f aca="false">Plan_Supuestos!$D$17*(L7/Plan_Supuestos!$B$6)^Plan_Supuestos!$D$18*(1-L8)</f>
        <v>57.6538582159728</v>
      </c>
      <c r="M9" s="6" t="n">
        <f aca="false">Plan_Supuestos!$D$17*(M7/Plan_Supuestos!$B$6)^Plan_Supuestos!$D$18*(1-M8)</f>
        <v>57.836313290035</v>
      </c>
      <c r="N9" s="6" t="n">
        <f aca="false">Plan_Supuestos!$D$17*(N7/Plan_Supuestos!$B$6)^Plan_Supuestos!$D$18*(1-N8)</f>
        <v>58.0006224731152</v>
      </c>
      <c r="O9" s="6" t="n">
        <f aca="false">Plan_Supuestos!$D$17*(O7/Plan_Supuestos!$B$6)^Plan_Supuestos!$D$18*(1-O8)</f>
        <v>58.1459350114144</v>
      </c>
      <c r="P9" s="6" t="n">
        <f aca="false">Plan_Supuestos!$D$17*(P7/Plan_Supuestos!$B$6)^Plan_Supuestos!$D$18*(1-P8)</f>
        <v>58.2713722481014</v>
      </c>
      <c r="Q9" s="6" t="n">
        <f aca="false">Plan_Supuestos!$D$17*(Q7/Plan_Supuestos!$B$6)^Plan_Supuestos!$D$18*(1-Q8)</f>
        <v>58.3760268228715</v>
      </c>
      <c r="R9" s="6" t="n">
        <f aca="false">Plan_Supuestos!$D$17*(R7/Plan_Supuestos!$B$6)^Plan_Supuestos!$D$18*(1-R8)</f>
        <v>58.4589618501136</v>
      </c>
      <c r="S9" s="6" t="n">
        <f aca="false">Plan_Supuestos!$D$17*(S7/Plan_Supuestos!$B$6)^Plan_Supuestos!$D$18*(1-S8)</f>
        <v>58.9119564514808</v>
      </c>
      <c r="T9" s="6" t="n">
        <f aca="false">Plan_Supuestos!$D$17*(T7/Plan_Supuestos!$B$6)^Plan_Supuestos!$D$18*(1-T8)</f>
        <v>60.1600407615442</v>
      </c>
      <c r="U9" s="6" t="n">
        <f aca="false">Plan_Supuestos!$D$17*(U7/Plan_Supuestos!$B$6)^Plan_Supuestos!$D$18*(1-U8)</f>
        <v>61.4345664688867</v>
      </c>
      <c r="V9" s="6" t="n">
        <f aca="false">Plan_Supuestos!$D$17*(V7/Plan_Supuestos!$B$6)^Plan_Supuestos!$D$18*(1-V8)</f>
        <v>62.73609375</v>
      </c>
      <c r="W9" s="6" t="n">
        <f aca="false">Plan_Supuestos!$D$17*(W7/Plan_Supuestos!$B$6)^Plan_Supuestos!$D$18*(1-W8)</f>
        <v>64.0651946490429</v>
      </c>
      <c r="X9" s="6" t="n">
        <f aca="false">Plan_Supuestos!$D$17*(X7/Plan_Supuestos!$B$6)^Plan_Supuestos!$D$18*(1-X8)</f>
        <v>65.4224533292647</v>
      </c>
      <c r="Y9" s="6" t="n">
        <f aca="false">Plan_Supuestos!$D$17*(Y7/Plan_Supuestos!$B$6)^Plan_Supuestos!$D$18*(1-Y8)</f>
        <v>66.8084663297557</v>
      </c>
    </row>
    <row r="10" customFormat="false" ht="15" hidden="false" customHeight="false" outlineLevel="0" collapsed="false">
      <c r="A10" s="4" t="s">
        <v>132</v>
      </c>
      <c r="B10" s="5" t="n">
        <f aca="false">B7/B9</f>
        <v>163.636363636364</v>
      </c>
      <c r="C10" s="5" t="n">
        <f aca="false">C7/C9</f>
        <v>187.0840460336</v>
      </c>
      <c r="D10" s="5" t="n">
        <f aca="false">D7/D9</f>
        <v>213.941193516906</v>
      </c>
      <c r="E10" s="5" t="n">
        <f aca="false">E7/E9</f>
        <v>244.712380223364</v>
      </c>
      <c r="F10" s="5" t="n">
        <f aca="false">F7/F9</f>
        <v>279.978462027281</v>
      </c>
      <c r="G10" s="5" t="n">
        <f aca="false">G7/G9</f>
        <v>320.408411397253</v>
      </c>
      <c r="H10" s="5" t="n">
        <f aca="false">H7/H9</f>
        <v>366.773047164794</v>
      </c>
      <c r="I10" s="5" t="n">
        <f aca="false">I7/I9</f>
        <v>419.96097442534</v>
      </c>
      <c r="J10" s="5" t="n">
        <f aca="false">J7/J9</f>
        <v>480.997104697077</v>
      </c>
      <c r="K10" s="5" t="n">
        <f aca="false">K7/K9</f>
        <v>551.06419146627</v>
      </c>
      <c r="L10" s="5" t="n">
        <f aca="false">L7/L9</f>
        <v>631.527893328115</v>
      </c>
      <c r="M10" s="5" t="n">
        <f aca="false">M7/M9</f>
        <v>723.965968484217</v>
      </c>
      <c r="N10" s="5" t="n">
        <f aca="false">N7/N9</f>
        <v>830.202313286951</v>
      </c>
      <c r="O10" s="5" t="n">
        <f aca="false">O7/O9</f>
        <v>952.346687361419</v>
      </c>
      <c r="P10" s="5" t="n">
        <f aca="false">P7/P9</f>
        <v>1092.84112289763</v>
      </c>
      <c r="Q10" s="5" t="n">
        <f aca="false">Q7/Q9</f>
        <v>1254.51420126058</v>
      </c>
      <c r="R10" s="5" t="n">
        <f aca="false">R7/R9</f>
        <v>1440.64460258058</v>
      </c>
      <c r="S10" s="5" t="n">
        <f aca="false">S7/S9</f>
        <v>1644.00203074006</v>
      </c>
      <c r="T10" s="5" t="n">
        <f aca="false">T7/T9</f>
        <v>1851.37977031536</v>
      </c>
      <c r="U10" s="5" t="n">
        <f aca="false">U7/U9</f>
        <v>2084.91655718331</v>
      </c>
      <c r="V10" s="5" t="n">
        <f aca="false">V7/V9</f>
        <v>2347.91214645102</v>
      </c>
      <c r="W10" s="5" t="n">
        <f aca="false">W7/W9</f>
        <v>2644.08253100536</v>
      </c>
      <c r="X10" s="5" t="n">
        <f aca="false">X7/X9</f>
        <v>2977.61244658799</v>
      </c>
      <c r="Y10" s="5" t="n">
        <f aca="false">Y7/Y9</f>
        <v>3353.21449996667</v>
      </c>
    </row>
    <row r="11" customFormat="false" ht="15" hidden="false" customHeight="false" outlineLevel="0" collapsed="false">
      <c r="A11" s="4" t="s">
        <v>133</v>
      </c>
      <c r="B11" s="5" t="n">
        <f aca="false">B10*Plan_Supuestos!$D$23</f>
        <v>32.7272727272727</v>
      </c>
      <c r="C11" s="5" t="n">
        <f aca="false">C10*Plan_Supuestos!$D$23</f>
        <v>37.41680920672</v>
      </c>
      <c r="D11" s="5" t="n">
        <f aca="false">D10*Plan_Supuestos!$D$23</f>
        <v>42.7882387033813</v>
      </c>
      <c r="E11" s="5" t="n">
        <f aca="false">E10*Plan_Supuestos!$D$23</f>
        <v>48.9424760446728</v>
      </c>
      <c r="F11" s="5" t="n">
        <f aca="false">F10*Plan_Supuestos!$D$23</f>
        <v>55.9956924054562</v>
      </c>
      <c r="G11" s="5" t="n">
        <f aca="false">G10*Plan_Supuestos!$D$23</f>
        <v>64.0816822794507</v>
      </c>
      <c r="H11" s="5" t="n">
        <f aca="false">H10*Plan_Supuestos!$D$23</f>
        <v>73.3546094329588</v>
      </c>
      <c r="I11" s="5" t="n">
        <f aca="false">I10*Plan_Supuestos!$D$23</f>
        <v>83.992194885068</v>
      </c>
      <c r="J11" s="5" t="n">
        <f aca="false">J10*Plan_Supuestos!$D$23</f>
        <v>96.1994209394155</v>
      </c>
      <c r="K11" s="5" t="n">
        <f aca="false">K10*Plan_Supuestos!$D$23</f>
        <v>110.212838293254</v>
      </c>
      <c r="L11" s="5" t="n">
        <f aca="false">L10*Plan_Supuestos!$D$23</f>
        <v>126.305578665623</v>
      </c>
      <c r="M11" s="5" t="n">
        <f aca="false">M10*Plan_Supuestos!$D$23</f>
        <v>144.793193696843</v>
      </c>
      <c r="N11" s="5" t="n">
        <f aca="false">N10*Plan_Supuestos!$D$23</f>
        <v>166.04046265739</v>
      </c>
      <c r="O11" s="5" t="n">
        <f aca="false">O10*Plan_Supuestos!$D$23</f>
        <v>190.469337472284</v>
      </c>
      <c r="P11" s="5" t="n">
        <f aca="false">P10*Plan_Supuestos!$D$23</f>
        <v>218.568224579526</v>
      </c>
      <c r="Q11" s="5" t="n">
        <f aca="false">Q10*Plan_Supuestos!$D$23</f>
        <v>250.902840252116</v>
      </c>
      <c r="R11" s="5" t="n">
        <f aca="false">R10*Plan_Supuestos!$D$23</f>
        <v>288.128920516116</v>
      </c>
      <c r="S11" s="5" t="n">
        <f aca="false">S10*Plan_Supuestos!$D$23</f>
        <v>328.800406148012</v>
      </c>
      <c r="T11" s="5" t="n">
        <f aca="false">T10*Plan_Supuestos!$D$23</f>
        <v>370.275954063072</v>
      </c>
      <c r="U11" s="5" t="n">
        <f aca="false">U10*Plan_Supuestos!$D$23</f>
        <v>416.983311436663</v>
      </c>
      <c r="V11" s="5" t="n">
        <f aca="false">V10*Plan_Supuestos!$D$23</f>
        <v>469.582429290204</v>
      </c>
      <c r="W11" s="5" t="n">
        <f aca="false">W10*Plan_Supuestos!$D$23</f>
        <v>528.816506201071</v>
      </c>
      <c r="X11" s="5" t="n">
        <f aca="false">X10*Plan_Supuestos!$D$23</f>
        <v>595.522489317599</v>
      </c>
      <c r="Y11" s="5" t="n">
        <f aca="false">Y10*Plan_Supuestos!$D$23</f>
        <v>670.642899993335</v>
      </c>
    </row>
    <row r="12" customFormat="false" ht="15" hidden="false" customHeight="false" outlineLevel="0" collapsed="false">
      <c r="A12" s="8" t="s">
        <v>134</v>
      </c>
      <c r="B12" s="18" t="n">
        <f aca="false">B10+B11</f>
        <v>196.363636363636</v>
      </c>
      <c r="C12" s="18" t="n">
        <f aca="false">C10+C11</f>
        <v>224.50085524032</v>
      </c>
      <c r="D12" s="18" t="n">
        <f aca="false">D10+D11</f>
        <v>256.729432220288</v>
      </c>
      <c r="E12" s="18" t="n">
        <f aca="false">E10+E11</f>
        <v>293.654856268037</v>
      </c>
      <c r="F12" s="18" t="n">
        <f aca="false">F10+F11</f>
        <v>335.974154432737</v>
      </c>
      <c r="G12" s="18" t="n">
        <f aca="false">G10+G11</f>
        <v>384.490093676704</v>
      </c>
      <c r="H12" s="18" t="n">
        <f aca="false">H10+H11</f>
        <v>440.127656597753</v>
      </c>
      <c r="I12" s="18" t="n">
        <f aca="false">I10+I11</f>
        <v>503.953169310408</v>
      </c>
      <c r="J12" s="18" t="n">
        <f aca="false">J10+J11</f>
        <v>577.196525636493</v>
      </c>
      <c r="K12" s="18" t="n">
        <f aca="false">K10+K11</f>
        <v>661.277029759523</v>
      </c>
      <c r="L12" s="18" t="n">
        <f aca="false">L10+L11</f>
        <v>757.833471993738</v>
      </c>
      <c r="M12" s="18" t="n">
        <f aca="false">M10+M11</f>
        <v>868.759162181061</v>
      </c>
      <c r="N12" s="18" t="n">
        <f aca="false">N10+N11</f>
        <v>996.242775944341</v>
      </c>
      <c r="O12" s="18" t="n">
        <f aca="false">O10+O11</f>
        <v>1142.8160248337</v>
      </c>
      <c r="P12" s="18" t="n">
        <f aca="false">P10+P11</f>
        <v>1311.40934747715</v>
      </c>
      <c r="Q12" s="18" t="n">
        <f aca="false">Q10+Q11</f>
        <v>1505.4170415127</v>
      </c>
      <c r="R12" s="18" t="n">
        <f aca="false">R10+R11</f>
        <v>1728.77352309669</v>
      </c>
      <c r="S12" s="18" t="n">
        <f aca="false">S10+S11</f>
        <v>1972.80243688807</v>
      </c>
      <c r="T12" s="18" t="n">
        <f aca="false">T10+T11</f>
        <v>2221.65572437843</v>
      </c>
      <c r="U12" s="18" t="n">
        <f aca="false">U10+U11</f>
        <v>2501.89986861998</v>
      </c>
      <c r="V12" s="18" t="n">
        <f aca="false">V10+V11</f>
        <v>2817.49457574122</v>
      </c>
      <c r="W12" s="18" t="n">
        <f aca="false">W10+W11</f>
        <v>3172.89903720643</v>
      </c>
      <c r="X12" s="18" t="n">
        <f aca="false">X10+X11</f>
        <v>3573.13493590559</v>
      </c>
      <c r="Y12" s="18" t="n">
        <f aca="false">Y10+Y11</f>
        <v>4023.85739996001</v>
      </c>
    </row>
    <row r="13" customFormat="false" ht="15" hidden="false" customHeight="false" outlineLevel="0" collapsed="false">
      <c r="A13" s="4" t="s">
        <v>135</v>
      </c>
      <c r="B13" s="7" t="n">
        <f aca="false">B12/30</f>
        <v>6.54545454545455</v>
      </c>
      <c r="C13" s="7" t="n">
        <f aca="false">C12/30</f>
        <v>7.48336184134401</v>
      </c>
      <c r="D13" s="7" t="n">
        <f aca="false">D12/30</f>
        <v>8.55764774067626</v>
      </c>
      <c r="E13" s="7" t="n">
        <f aca="false">E12/30</f>
        <v>9.78849520893455</v>
      </c>
      <c r="F13" s="7" t="n">
        <f aca="false">F12/30</f>
        <v>11.1991384810912</v>
      </c>
      <c r="G13" s="7" t="n">
        <f aca="false">G12/30</f>
        <v>12.8163364558901</v>
      </c>
      <c r="H13" s="7" t="n">
        <f aca="false">H12/30</f>
        <v>14.6709218865918</v>
      </c>
      <c r="I13" s="7" t="n">
        <f aca="false">I12/30</f>
        <v>16.7984389770136</v>
      </c>
      <c r="J13" s="7" t="n">
        <f aca="false">J12/30</f>
        <v>19.2398841878831</v>
      </c>
      <c r="K13" s="7" t="n">
        <f aca="false">K12/30</f>
        <v>22.0425676586508</v>
      </c>
      <c r="L13" s="7" t="n">
        <f aca="false">L12/30</f>
        <v>25.2611157331246</v>
      </c>
      <c r="M13" s="7" t="n">
        <f aca="false">M12/30</f>
        <v>28.9586387393687</v>
      </c>
      <c r="N13" s="7" t="n">
        <f aca="false">N12/30</f>
        <v>33.208092531478</v>
      </c>
      <c r="O13" s="7" t="n">
        <f aca="false">O12/30</f>
        <v>38.0938674944568</v>
      </c>
      <c r="P13" s="7" t="n">
        <f aca="false">P12/30</f>
        <v>43.7136449159051</v>
      </c>
      <c r="Q13" s="7" t="n">
        <f aca="false">Q12/30</f>
        <v>50.1805680504232</v>
      </c>
      <c r="R13" s="7" t="n">
        <f aca="false">R12/30</f>
        <v>57.6257841032231</v>
      </c>
      <c r="S13" s="7" t="n">
        <f aca="false">S12/30</f>
        <v>65.7600812296025</v>
      </c>
      <c r="T13" s="7" t="n">
        <f aca="false">T12/30</f>
        <v>74.0551908126143</v>
      </c>
      <c r="U13" s="7" t="n">
        <f aca="false">U12/30</f>
        <v>83.3966622873326</v>
      </c>
      <c r="V13" s="7" t="n">
        <f aca="false">V12/30</f>
        <v>93.9164858580407</v>
      </c>
      <c r="W13" s="7" t="n">
        <f aca="false">W12/30</f>
        <v>105.763301240214</v>
      </c>
      <c r="X13" s="7" t="n">
        <f aca="false">X12/30</f>
        <v>119.10449786352</v>
      </c>
      <c r="Y13" s="7" t="n">
        <f aca="false">Y12/30</f>
        <v>134.128579998667</v>
      </c>
    </row>
    <row r="14" customFormat="false" ht="15" hidden="false" customHeight="false" outlineLevel="0" collapsed="false">
      <c r="A14" s="4" t="s">
        <v>136</v>
      </c>
      <c r="B14" s="5" t="n">
        <f aca="false">Plan_Supuestos!$D$24*IF(B$4&gt;12,INDEX($B12:$Y12,B$4-12),Plan_Supuestos!$B$7)</f>
        <v>9.6</v>
      </c>
      <c r="C14" s="5" t="n">
        <f aca="false">Plan_Supuestos!$D$24*IF(C$4&gt;12,INDEX($B12:$Y12,C$4-12),Plan_Supuestos!$B$7)</f>
        <v>9.6</v>
      </c>
      <c r="D14" s="5" t="n">
        <f aca="false">Plan_Supuestos!$D$24*IF(D$4&gt;12,INDEX($B12:$Y12,D$4-12),Plan_Supuestos!$B$7)</f>
        <v>9.6</v>
      </c>
      <c r="E14" s="5" t="n">
        <f aca="false">Plan_Supuestos!$D$24*IF(E$4&gt;12,INDEX($B12:$Y12,E$4-12),Plan_Supuestos!$B$7)</f>
        <v>9.6</v>
      </c>
      <c r="F14" s="5" t="n">
        <f aca="false">Plan_Supuestos!$D$24*IF(F$4&gt;12,INDEX($B12:$Y12,F$4-12),Plan_Supuestos!$B$7)</f>
        <v>9.6</v>
      </c>
      <c r="G14" s="5" t="n">
        <f aca="false">Plan_Supuestos!$D$24*IF(G$4&gt;12,INDEX($B12:$Y12,G$4-12),Plan_Supuestos!$B$7)</f>
        <v>9.6</v>
      </c>
      <c r="H14" s="5" t="n">
        <f aca="false">Plan_Supuestos!$D$24*IF(H$4&gt;12,INDEX($B12:$Y12,H$4-12),Plan_Supuestos!$B$7)</f>
        <v>9.6</v>
      </c>
      <c r="I14" s="5" t="n">
        <f aca="false">Plan_Supuestos!$D$24*IF(I$4&gt;12,INDEX($B12:$Y12,I$4-12),Plan_Supuestos!$B$7)</f>
        <v>9.6</v>
      </c>
      <c r="J14" s="5" t="n">
        <f aca="false">Plan_Supuestos!$D$24*IF(J$4&gt;12,INDEX($B12:$Y12,J$4-12),Plan_Supuestos!$B$7)</f>
        <v>9.6</v>
      </c>
      <c r="K14" s="5" t="n">
        <f aca="false">Plan_Supuestos!$D$24*IF(K$4&gt;12,INDEX($B12:$Y12,K$4-12),Plan_Supuestos!$B$7)</f>
        <v>9.6</v>
      </c>
      <c r="L14" s="5" t="n">
        <f aca="false">Plan_Supuestos!$D$24*IF(L$4&gt;12,INDEX($B12:$Y12,L$4-12),Plan_Supuestos!$B$7)</f>
        <v>9.6</v>
      </c>
      <c r="M14" s="5" t="n">
        <f aca="false">Plan_Supuestos!$D$24*IF(M$4&gt;12,INDEX($B12:$Y12,M$4-12),Plan_Supuestos!$B$7)</f>
        <v>9.6</v>
      </c>
      <c r="N14" s="5" t="n">
        <f aca="false">Plan_Supuestos!$D$24*IF(N$4&gt;12,INDEX($B12:$Y12,N$4-12),Plan_Supuestos!$B$7)</f>
        <v>31.4181818181818</v>
      </c>
      <c r="O14" s="5" t="n">
        <f aca="false">Plan_Supuestos!$D$24*IF(O$4&gt;12,INDEX($B12:$Y12,O$4-12),Plan_Supuestos!$B$7)</f>
        <v>35.9201368384512</v>
      </c>
      <c r="P14" s="5" t="n">
        <f aca="false">Plan_Supuestos!$D$24*IF(P$4&gt;12,INDEX($B12:$Y12,P$4-12),Plan_Supuestos!$B$7)</f>
        <v>41.076709155246</v>
      </c>
      <c r="Q14" s="5" t="n">
        <f aca="false">Plan_Supuestos!$D$24*IF(Q$4&gt;12,INDEX($B12:$Y12,Q$4-12),Plan_Supuestos!$B$7)</f>
        <v>46.9847770028858</v>
      </c>
      <c r="R14" s="5" t="n">
        <f aca="false">Plan_Supuestos!$D$24*IF(R$4&gt;12,INDEX($B12:$Y12,R$4-12),Plan_Supuestos!$B$7)</f>
        <v>53.7558647092379</v>
      </c>
      <c r="S14" s="5" t="n">
        <f aca="false">Plan_Supuestos!$D$24*IF(S$4&gt;12,INDEX($B12:$Y12,S$4-12),Plan_Supuestos!$B$7)</f>
        <v>61.5184149882726</v>
      </c>
      <c r="T14" s="5" t="n">
        <f aca="false">Plan_Supuestos!$D$24*IF(T$4&gt;12,INDEX($B12:$Y12,T$4-12),Plan_Supuestos!$B$7)</f>
        <v>70.4204250556404</v>
      </c>
      <c r="U14" s="5" t="n">
        <f aca="false">Plan_Supuestos!$D$24*IF(U$4&gt;12,INDEX($B12:$Y12,U$4-12),Plan_Supuestos!$B$7)</f>
        <v>80.6325070896653</v>
      </c>
      <c r="V14" s="5" t="n">
        <f aca="false">Plan_Supuestos!$D$24*IF(V$4&gt;12,INDEX($B12:$Y12,V$4-12),Plan_Supuestos!$B$7)</f>
        <v>92.3514441018388</v>
      </c>
      <c r="W14" s="5" t="n">
        <f aca="false">Plan_Supuestos!$D$24*IF(W$4&gt;12,INDEX($B12:$Y12,W$4-12),Plan_Supuestos!$B$7)</f>
        <v>105.804324761524</v>
      </c>
      <c r="X14" s="5" t="n">
        <f aca="false">Plan_Supuestos!$D$24*IF(X$4&gt;12,INDEX($B12:$Y12,X$4-12),Plan_Supuestos!$B$7)</f>
        <v>121.253355518998</v>
      </c>
      <c r="Y14" s="5" t="n">
        <f aca="false">Plan_Supuestos!$D$24*IF(Y$4&gt;12,INDEX($B12:$Y12,Y$4-12),Plan_Supuestos!$B$7)</f>
        <v>139.00146594897</v>
      </c>
    </row>
    <row r="15" customFormat="false" ht="15" hidden="false" customHeight="false" outlineLevel="0" collapsed="false">
      <c r="A15" s="4" t="s">
        <v>137</v>
      </c>
      <c r="B15" s="5" t="n">
        <f aca="false">B12+B14</f>
        <v>205.963636363636</v>
      </c>
      <c r="C15" s="5" t="n">
        <f aca="false">C12+C14</f>
        <v>234.10085524032</v>
      </c>
      <c r="D15" s="5" t="n">
        <f aca="false">D12+D14</f>
        <v>266.329432220288</v>
      </c>
      <c r="E15" s="5" t="n">
        <f aca="false">E12+E14</f>
        <v>303.254856268037</v>
      </c>
      <c r="F15" s="5" t="n">
        <f aca="false">F12+F14</f>
        <v>345.574154432737</v>
      </c>
      <c r="G15" s="5" t="n">
        <f aca="false">G12+G14</f>
        <v>394.090093676704</v>
      </c>
      <c r="H15" s="5" t="n">
        <f aca="false">H12+H14</f>
        <v>449.727656597753</v>
      </c>
      <c r="I15" s="5" t="n">
        <f aca="false">I12+I14</f>
        <v>513.553169310408</v>
      </c>
      <c r="J15" s="5" t="n">
        <f aca="false">J12+J14</f>
        <v>586.796525636493</v>
      </c>
      <c r="K15" s="5" t="n">
        <f aca="false">K12+K14</f>
        <v>670.877029759524</v>
      </c>
      <c r="L15" s="5" t="n">
        <f aca="false">L12+L14</f>
        <v>767.433471993738</v>
      </c>
      <c r="M15" s="5" t="n">
        <f aca="false">M12+M14</f>
        <v>878.359162181061</v>
      </c>
      <c r="N15" s="5" t="n">
        <f aca="false">N12+N14</f>
        <v>1027.66095776252</v>
      </c>
      <c r="O15" s="5" t="n">
        <f aca="false">O12+O14</f>
        <v>1178.73616167215</v>
      </c>
      <c r="P15" s="5" t="n">
        <f aca="false">P12+P14</f>
        <v>1352.4860566324</v>
      </c>
      <c r="Q15" s="5" t="n">
        <f aca="false">Q12+Q14</f>
        <v>1552.40181851558</v>
      </c>
      <c r="R15" s="5" t="n">
        <f aca="false">R12+R14</f>
        <v>1782.52938780593</v>
      </c>
      <c r="S15" s="5" t="n">
        <f aca="false">S12+S14</f>
        <v>2034.32085187635</v>
      </c>
      <c r="T15" s="5" t="n">
        <f aca="false">T12+T14</f>
        <v>2292.07614943407</v>
      </c>
      <c r="U15" s="5" t="n">
        <f aca="false">U12+U14</f>
        <v>2582.53237570964</v>
      </c>
      <c r="V15" s="5" t="n">
        <f aca="false">V12+V14</f>
        <v>2909.84601984306</v>
      </c>
      <c r="W15" s="5" t="n">
        <f aca="false">W12+W14</f>
        <v>3278.70336196795</v>
      </c>
      <c r="X15" s="5" t="n">
        <f aca="false">X12+X14</f>
        <v>3694.38829142459</v>
      </c>
      <c r="Y15" s="5" t="n">
        <f aca="false">Y12+Y14</f>
        <v>4162.85886590898</v>
      </c>
    </row>
    <row r="16" customFormat="false" ht="15" hidden="false" customHeight="false" outlineLevel="0" collapsed="false">
      <c r="A16" s="4" t="s">
        <v>138</v>
      </c>
      <c r="B16" s="28" t="n">
        <f aca="false">MIN(1,(B$4-1)/11)</f>
        <v>0</v>
      </c>
      <c r="C16" s="28" t="n">
        <f aca="false">MIN(1,(C$4-1)/11)</f>
        <v>0.0909090909090909</v>
      </c>
      <c r="D16" s="28" t="n">
        <f aca="false">MIN(1,(D$4-1)/11)</f>
        <v>0.181818181818182</v>
      </c>
      <c r="E16" s="28" t="n">
        <f aca="false">MIN(1,(E$4-1)/11)</f>
        <v>0.272727272727273</v>
      </c>
      <c r="F16" s="28" t="n">
        <f aca="false">MIN(1,(F$4-1)/11)</f>
        <v>0.363636363636364</v>
      </c>
      <c r="G16" s="28" t="n">
        <f aca="false">MIN(1,(G$4-1)/11)</f>
        <v>0.454545454545455</v>
      </c>
      <c r="H16" s="28" t="n">
        <f aca="false">MIN(1,(H$4-1)/11)</f>
        <v>0.545454545454545</v>
      </c>
      <c r="I16" s="28" t="n">
        <f aca="false">MIN(1,(I$4-1)/11)</f>
        <v>0.636363636363636</v>
      </c>
      <c r="J16" s="28" t="n">
        <f aca="false">MIN(1,(J$4-1)/11)</f>
        <v>0.727272727272727</v>
      </c>
      <c r="K16" s="28" t="n">
        <f aca="false">MIN(1,(K$4-1)/11)</f>
        <v>0.818181818181818</v>
      </c>
      <c r="L16" s="28" t="n">
        <f aca="false">MIN(1,(L$4-1)/11)</f>
        <v>0.909090909090909</v>
      </c>
      <c r="M16" s="28" t="n">
        <f aca="false">MIN(1,(M$4-1)/11)</f>
        <v>1</v>
      </c>
      <c r="N16" s="28" t="n">
        <f aca="false">MIN(1,(N$4-1)/11)</f>
        <v>1</v>
      </c>
      <c r="O16" s="28" t="n">
        <f aca="false">MIN(1,(O$4-1)/11)</f>
        <v>1</v>
      </c>
      <c r="P16" s="28" t="n">
        <f aca="false">MIN(1,(P$4-1)/11)</f>
        <v>1</v>
      </c>
      <c r="Q16" s="28" t="n">
        <f aca="false">MIN(1,(Q$4-1)/11)</f>
        <v>1</v>
      </c>
      <c r="R16" s="28" t="n">
        <f aca="false">MIN(1,(R$4-1)/11)</f>
        <v>1</v>
      </c>
      <c r="S16" s="28" t="n">
        <f aca="false">MIN(1,(S$4-1)/11)</f>
        <v>1</v>
      </c>
      <c r="T16" s="28" t="n">
        <f aca="false">MIN(1,(T$4-1)/11)</f>
        <v>1</v>
      </c>
      <c r="U16" s="28" t="n">
        <f aca="false">MIN(1,(U$4-1)/11)</f>
        <v>1</v>
      </c>
      <c r="V16" s="28" t="n">
        <f aca="false">MIN(1,(V$4-1)/11)</f>
        <v>1</v>
      </c>
      <c r="W16" s="28" t="n">
        <f aca="false">MIN(1,(W$4-1)/11)</f>
        <v>1</v>
      </c>
      <c r="X16" s="28" t="n">
        <f aca="false">MIN(1,(X$4-1)/11)</f>
        <v>1</v>
      </c>
      <c r="Y16" s="28" t="n">
        <f aca="false">MIN(1,(Y$4-1)/11)</f>
        <v>1</v>
      </c>
    </row>
    <row r="17" customFormat="false" ht="15" hidden="false" customHeight="false" outlineLevel="0" collapsed="false">
      <c r="A17" s="4" t="s">
        <v>139</v>
      </c>
      <c r="B17" s="28" t="n">
        <f aca="false">1-SUM(B18:B22)</f>
        <v>0.87</v>
      </c>
      <c r="C17" s="28" t="n">
        <f aca="false">1-SUM(C18:C22)</f>
        <v>0.862727272727273</v>
      </c>
      <c r="D17" s="28" t="n">
        <f aca="false">1-SUM(D18:D22)</f>
        <v>0.855454545454546</v>
      </c>
      <c r="E17" s="28" t="n">
        <f aca="false">1-SUM(E18:E22)</f>
        <v>0.848181818181818</v>
      </c>
      <c r="F17" s="28" t="n">
        <f aca="false">1-SUM(F18:F22)</f>
        <v>0.840909090909091</v>
      </c>
      <c r="G17" s="28" t="n">
        <f aca="false">1-SUM(G18:G22)</f>
        <v>0.833636363636364</v>
      </c>
      <c r="H17" s="28" t="n">
        <f aca="false">1-SUM(H18:H22)</f>
        <v>0.826363636363636</v>
      </c>
      <c r="I17" s="28" t="n">
        <f aca="false">1-SUM(I18:I22)</f>
        <v>0.819090909090909</v>
      </c>
      <c r="J17" s="28" t="n">
        <f aca="false">1-SUM(J18:J22)</f>
        <v>0.811818181818182</v>
      </c>
      <c r="K17" s="28" t="n">
        <f aca="false">1-SUM(K18:K22)</f>
        <v>0.804545454545455</v>
      </c>
      <c r="L17" s="28" t="n">
        <f aca="false">1-SUM(L18:L22)</f>
        <v>0.797272727272727</v>
      </c>
      <c r="M17" s="28" t="n">
        <f aca="false">1-SUM(M18:M22)</f>
        <v>0.79</v>
      </c>
      <c r="N17" s="28" t="n">
        <f aca="false">1-SUM(N18:N22)</f>
        <v>0.79</v>
      </c>
      <c r="O17" s="28" t="n">
        <f aca="false">1-SUM(O18:O22)</f>
        <v>0.79</v>
      </c>
      <c r="P17" s="28" t="n">
        <f aca="false">1-SUM(P18:P22)</f>
        <v>0.79</v>
      </c>
      <c r="Q17" s="28" t="n">
        <f aca="false">1-SUM(Q18:Q22)</f>
        <v>0.79</v>
      </c>
      <c r="R17" s="28" t="n">
        <f aca="false">1-SUM(R18:R22)</f>
        <v>0.79</v>
      </c>
      <c r="S17" s="28" t="n">
        <f aca="false">1-SUM(S18:S22)</f>
        <v>0.79</v>
      </c>
      <c r="T17" s="28" t="n">
        <f aca="false">1-SUM(T18:T22)</f>
        <v>0.79</v>
      </c>
      <c r="U17" s="28" t="n">
        <f aca="false">1-SUM(U18:U22)</f>
        <v>0.79</v>
      </c>
      <c r="V17" s="28" t="n">
        <f aca="false">1-SUM(V18:V22)</f>
        <v>0.79</v>
      </c>
      <c r="W17" s="28" t="n">
        <f aca="false">1-SUM(W18:W22)</f>
        <v>0.79</v>
      </c>
      <c r="X17" s="28" t="n">
        <f aca="false">1-SUM(X18:X22)</f>
        <v>0.79</v>
      </c>
      <c r="Y17" s="28" t="n">
        <f aca="false">1-SUM(Y18:Y22)</f>
        <v>0.79</v>
      </c>
    </row>
    <row r="18" customFormat="false" ht="15" hidden="false" customHeight="false" outlineLevel="0" collapsed="false">
      <c r="A18" s="4" t="s">
        <v>140</v>
      </c>
      <c r="B18" s="28" t="n">
        <f aca="false">Plan_Supuestos!$G$31+(Plan_Supuestos!$H$31-Plan_Supuestos!$G$31)*B16</f>
        <v>0.08</v>
      </c>
      <c r="C18" s="28" t="n">
        <f aca="false">Plan_Supuestos!$G$31+(Plan_Supuestos!$H$31-Plan_Supuestos!$G$31)*C16</f>
        <v>0.0772727272727273</v>
      </c>
      <c r="D18" s="28" t="n">
        <f aca="false">Plan_Supuestos!$G$31+(Plan_Supuestos!$H$31-Plan_Supuestos!$G$31)*D16</f>
        <v>0.0745454545454546</v>
      </c>
      <c r="E18" s="28" t="n">
        <f aca="false">Plan_Supuestos!$G$31+(Plan_Supuestos!$H$31-Plan_Supuestos!$G$31)*E16</f>
        <v>0.0718181818181818</v>
      </c>
      <c r="F18" s="28" t="n">
        <f aca="false">Plan_Supuestos!$G$31+(Plan_Supuestos!$H$31-Plan_Supuestos!$G$31)*F16</f>
        <v>0.0690909090909091</v>
      </c>
      <c r="G18" s="28" t="n">
        <f aca="false">Plan_Supuestos!$G$31+(Plan_Supuestos!$H$31-Plan_Supuestos!$G$31)*G16</f>
        <v>0.0663636363636364</v>
      </c>
      <c r="H18" s="28" t="n">
        <f aca="false">Plan_Supuestos!$G$31+(Plan_Supuestos!$H$31-Plan_Supuestos!$G$31)*H16</f>
        <v>0.0636363636363636</v>
      </c>
      <c r="I18" s="28" t="n">
        <f aca="false">Plan_Supuestos!$G$31+(Plan_Supuestos!$H$31-Plan_Supuestos!$G$31)*I16</f>
        <v>0.0609090909090909</v>
      </c>
      <c r="J18" s="28" t="n">
        <f aca="false">Plan_Supuestos!$G$31+(Plan_Supuestos!$H$31-Plan_Supuestos!$G$31)*J16</f>
        <v>0.0581818181818182</v>
      </c>
      <c r="K18" s="28" t="n">
        <f aca="false">Plan_Supuestos!$G$31+(Plan_Supuestos!$H$31-Plan_Supuestos!$G$31)*K16</f>
        <v>0.0554545454545455</v>
      </c>
      <c r="L18" s="28" t="n">
        <f aca="false">Plan_Supuestos!$G$31+(Plan_Supuestos!$H$31-Plan_Supuestos!$G$31)*L16</f>
        <v>0.0527272727272727</v>
      </c>
      <c r="M18" s="28" t="n">
        <f aca="false">Plan_Supuestos!$G$31+(Plan_Supuestos!$H$31-Plan_Supuestos!$G$31)*M16</f>
        <v>0.05</v>
      </c>
      <c r="N18" s="28" t="n">
        <f aca="false">Plan_Supuestos!$G$31+(Plan_Supuestos!$H$31-Plan_Supuestos!$G$31)*N16</f>
        <v>0.05</v>
      </c>
      <c r="O18" s="28" t="n">
        <f aca="false">Plan_Supuestos!$G$31+(Plan_Supuestos!$H$31-Plan_Supuestos!$G$31)*O16</f>
        <v>0.05</v>
      </c>
      <c r="P18" s="28" t="n">
        <f aca="false">Plan_Supuestos!$G$31+(Plan_Supuestos!$H$31-Plan_Supuestos!$G$31)*P16</f>
        <v>0.05</v>
      </c>
      <c r="Q18" s="28" t="n">
        <f aca="false">Plan_Supuestos!$G$31+(Plan_Supuestos!$H$31-Plan_Supuestos!$G$31)*Q16</f>
        <v>0.05</v>
      </c>
      <c r="R18" s="28" t="n">
        <f aca="false">Plan_Supuestos!$G$31+(Plan_Supuestos!$H$31-Plan_Supuestos!$G$31)*R16</f>
        <v>0.05</v>
      </c>
      <c r="S18" s="28" t="n">
        <f aca="false">Plan_Supuestos!$G$31+(Plan_Supuestos!$H$31-Plan_Supuestos!$G$31)*S16</f>
        <v>0.05</v>
      </c>
      <c r="T18" s="28" t="n">
        <f aca="false">Plan_Supuestos!$G$31+(Plan_Supuestos!$H$31-Plan_Supuestos!$G$31)*T16</f>
        <v>0.05</v>
      </c>
      <c r="U18" s="28" t="n">
        <f aca="false">Plan_Supuestos!$G$31+(Plan_Supuestos!$H$31-Plan_Supuestos!$G$31)*U16</f>
        <v>0.05</v>
      </c>
      <c r="V18" s="28" t="n">
        <f aca="false">Plan_Supuestos!$G$31+(Plan_Supuestos!$H$31-Plan_Supuestos!$G$31)*V16</f>
        <v>0.05</v>
      </c>
      <c r="W18" s="28" t="n">
        <f aca="false">Plan_Supuestos!$G$31+(Plan_Supuestos!$H$31-Plan_Supuestos!$G$31)*W16</f>
        <v>0.05</v>
      </c>
      <c r="X18" s="28" t="n">
        <f aca="false">Plan_Supuestos!$G$31+(Plan_Supuestos!$H$31-Plan_Supuestos!$G$31)*X16</f>
        <v>0.05</v>
      </c>
      <c r="Y18" s="28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141</v>
      </c>
      <c r="B19" s="28" t="n">
        <f aca="false">Plan_Supuestos!$G$32+(Plan_Supuestos!$H$32-Plan_Supuestos!$G$32)*B16</f>
        <v>0.03</v>
      </c>
      <c r="C19" s="28" t="n">
        <f aca="false">Plan_Supuestos!$G$32+(Plan_Supuestos!$H$32-Plan_Supuestos!$G$32)*C16</f>
        <v>0.0327272727272727</v>
      </c>
      <c r="D19" s="28" t="n">
        <f aca="false">Plan_Supuestos!$G$32+(Plan_Supuestos!$H$32-Plan_Supuestos!$G$32)*D16</f>
        <v>0.0354545454545455</v>
      </c>
      <c r="E19" s="28" t="n">
        <f aca="false">Plan_Supuestos!$G$32+(Plan_Supuestos!$H$32-Plan_Supuestos!$G$32)*E16</f>
        <v>0.0381818181818182</v>
      </c>
      <c r="F19" s="28" t="n">
        <f aca="false">Plan_Supuestos!$G$32+(Plan_Supuestos!$H$32-Plan_Supuestos!$G$32)*F16</f>
        <v>0.0409090909090909</v>
      </c>
      <c r="G19" s="28" t="n">
        <f aca="false">Plan_Supuestos!$G$32+(Plan_Supuestos!$H$32-Plan_Supuestos!$G$32)*G16</f>
        <v>0.0436363636363636</v>
      </c>
      <c r="H19" s="28" t="n">
        <f aca="false">Plan_Supuestos!$G$32+(Plan_Supuestos!$H$32-Plan_Supuestos!$G$32)*H16</f>
        <v>0.0463636363636364</v>
      </c>
      <c r="I19" s="28" t="n">
        <f aca="false">Plan_Supuestos!$G$32+(Plan_Supuestos!$H$32-Plan_Supuestos!$G$32)*I16</f>
        <v>0.0490909090909091</v>
      </c>
      <c r="J19" s="28" t="n">
        <f aca="false">Plan_Supuestos!$G$32+(Plan_Supuestos!$H$32-Plan_Supuestos!$G$32)*J16</f>
        <v>0.0518181818181818</v>
      </c>
      <c r="K19" s="28" t="n">
        <f aca="false">Plan_Supuestos!$G$32+(Plan_Supuestos!$H$32-Plan_Supuestos!$G$32)*K16</f>
        <v>0.0545454545454546</v>
      </c>
      <c r="L19" s="28" t="n">
        <f aca="false">Plan_Supuestos!$G$32+(Plan_Supuestos!$H$32-Plan_Supuestos!$G$32)*L16</f>
        <v>0.0572727272727273</v>
      </c>
      <c r="M19" s="28" t="n">
        <f aca="false">Plan_Supuestos!$G$32+(Plan_Supuestos!$H$32-Plan_Supuestos!$G$32)*M16</f>
        <v>0.06</v>
      </c>
      <c r="N19" s="28" t="n">
        <f aca="false">Plan_Supuestos!$G$32+(Plan_Supuestos!$H$32-Plan_Supuestos!$G$32)*N16</f>
        <v>0.06</v>
      </c>
      <c r="O19" s="28" t="n">
        <f aca="false">Plan_Supuestos!$G$32+(Plan_Supuestos!$H$32-Plan_Supuestos!$G$32)*O16</f>
        <v>0.06</v>
      </c>
      <c r="P19" s="28" t="n">
        <f aca="false">Plan_Supuestos!$G$32+(Plan_Supuestos!$H$32-Plan_Supuestos!$G$32)*P16</f>
        <v>0.06</v>
      </c>
      <c r="Q19" s="28" t="n">
        <f aca="false">Plan_Supuestos!$G$32+(Plan_Supuestos!$H$32-Plan_Supuestos!$G$32)*Q16</f>
        <v>0.06</v>
      </c>
      <c r="R19" s="28" t="n">
        <f aca="false">Plan_Supuestos!$G$32+(Plan_Supuestos!$H$32-Plan_Supuestos!$G$32)*R16</f>
        <v>0.06</v>
      </c>
      <c r="S19" s="28" t="n">
        <f aca="false">Plan_Supuestos!$G$32+(Plan_Supuestos!$H$32-Plan_Supuestos!$G$32)*S16</f>
        <v>0.06</v>
      </c>
      <c r="T19" s="28" t="n">
        <f aca="false">Plan_Supuestos!$G$32+(Plan_Supuestos!$H$32-Plan_Supuestos!$G$32)*T16</f>
        <v>0.06</v>
      </c>
      <c r="U19" s="28" t="n">
        <f aca="false">Plan_Supuestos!$G$32+(Plan_Supuestos!$H$32-Plan_Supuestos!$G$32)*U16</f>
        <v>0.06</v>
      </c>
      <c r="V19" s="28" t="n">
        <f aca="false">Plan_Supuestos!$G$32+(Plan_Supuestos!$H$32-Plan_Supuestos!$G$32)*V16</f>
        <v>0.06</v>
      </c>
      <c r="W19" s="28" t="n">
        <f aca="false">Plan_Supuestos!$G$32+(Plan_Supuestos!$H$32-Plan_Supuestos!$G$32)*W16</f>
        <v>0.06</v>
      </c>
      <c r="X19" s="28" t="n">
        <f aca="false">Plan_Supuestos!$G$32+(Plan_Supuestos!$H$32-Plan_Supuestos!$G$32)*X16</f>
        <v>0.06</v>
      </c>
      <c r="Y19" s="28" t="n">
        <f aca="false">Plan_Supuestos!$G$32+(Plan_Supuestos!$H$32-Plan_Supuestos!$G$32)*Y16</f>
        <v>0.06</v>
      </c>
    </row>
    <row r="20" customFormat="false" ht="15" hidden="false" customHeight="false" outlineLevel="0" collapsed="false">
      <c r="A20" s="4" t="s">
        <v>142</v>
      </c>
      <c r="B20" s="28" t="n">
        <f aca="false">Plan_Supuestos!$G$33+(Plan_Supuestos!$H$33-Plan_Supuestos!$G$33)*B16</f>
        <v>0.02</v>
      </c>
      <c r="C20" s="28" t="n">
        <f aca="false">Plan_Supuestos!$G$33+(Plan_Supuestos!$H$33-Plan_Supuestos!$G$33)*C16</f>
        <v>0.02</v>
      </c>
      <c r="D20" s="28" t="n">
        <f aca="false">Plan_Supuestos!$G$33+(Plan_Supuestos!$H$33-Plan_Supuestos!$G$33)*D16</f>
        <v>0.02</v>
      </c>
      <c r="E20" s="28" t="n">
        <f aca="false">Plan_Supuestos!$G$33+(Plan_Supuestos!$H$33-Plan_Supuestos!$G$33)*E16</f>
        <v>0.02</v>
      </c>
      <c r="F20" s="28" t="n">
        <f aca="false">Plan_Supuestos!$G$33+(Plan_Supuestos!$H$33-Plan_Supuestos!$G$33)*F16</f>
        <v>0.02</v>
      </c>
      <c r="G20" s="28" t="n">
        <f aca="false">Plan_Supuestos!$G$33+(Plan_Supuestos!$H$33-Plan_Supuestos!$G$33)*G16</f>
        <v>0.02</v>
      </c>
      <c r="H20" s="28" t="n">
        <f aca="false">Plan_Supuestos!$G$33+(Plan_Supuestos!$H$33-Plan_Supuestos!$G$33)*H16</f>
        <v>0.02</v>
      </c>
      <c r="I20" s="28" t="n">
        <f aca="false">Plan_Supuestos!$G$33+(Plan_Supuestos!$H$33-Plan_Supuestos!$G$33)*I16</f>
        <v>0.02</v>
      </c>
      <c r="J20" s="28" t="n">
        <f aca="false">Plan_Supuestos!$G$33+(Plan_Supuestos!$H$33-Plan_Supuestos!$G$33)*J16</f>
        <v>0.02</v>
      </c>
      <c r="K20" s="28" t="n">
        <f aca="false">Plan_Supuestos!$G$33+(Plan_Supuestos!$H$33-Plan_Supuestos!$G$33)*K16</f>
        <v>0.02</v>
      </c>
      <c r="L20" s="28" t="n">
        <f aca="false">Plan_Supuestos!$G$33+(Plan_Supuestos!$H$33-Plan_Supuestos!$G$33)*L16</f>
        <v>0.02</v>
      </c>
      <c r="M20" s="28" t="n">
        <f aca="false">Plan_Supuestos!$G$33+(Plan_Supuestos!$H$33-Plan_Supuestos!$G$33)*M16</f>
        <v>0.02</v>
      </c>
      <c r="N20" s="28" t="n">
        <f aca="false">Plan_Supuestos!$G$33+(Plan_Supuestos!$H$33-Plan_Supuestos!$G$33)*N16</f>
        <v>0.02</v>
      </c>
      <c r="O20" s="28" t="n">
        <f aca="false">Plan_Supuestos!$G$33+(Plan_Supuestos!$H$33-Plan_Supuestos!$G$33)*O16</f>
        <v>0.02</v>
      </c>
      <c r="P20" s="28" t="n">
        <f aca="false">Plan_Supuestos!$G$33+(Plan_Supuestos!$H$33-Plan_Supuestos!$G$33)*P16</f>
        <v>0.02</v>
      </c>
      <c r="Q20" s="28" t="n">
        <f aca="false">Plan_Supuestos!$G$33+(Plan_Supuestos!$H$33-Plan_Supuestos!$G$33)*Q16</f>
        <v>0.02</v>
      </c>
      <c r="R20" s="28" t="n">
        <f aca="false">Plan_Supuestos!$G$33+(Plan_Supuestos!$H$33-Plan_Supuestos!$G$33)*R16</f>
        <v>0.02</v>
      </c>
      <c r="S20" s="28" t="n">
        <f aca="false">Plan_Supuestos!$G$33+(Plan_Supuestos!$H$33-Plan_Supuestos!$G$33)*S16</f>
        <v>0.02</v>
      </c>
      <c r="T20" s="28" t="n">
        <f aca="false">Plan_Supuestos!$G$33+(Plan_Supuestos!$H$33-Plan_Supuestos!$G$33)*T16</f>
        <v>0.02</v>
      </c>
      <c r="U20" s="28" t="n">
        <f aca="false">Plan_Supuestos!$G$33+(Plan_Supuestos!$H$33-Plan_Supuestos!$G$33)*U16</f>
        <v>0.02</v>
      </c>
      <c r="V20" s="28" t="n">
        <f aca="false">Plan_Supuestos!$G$33+(Plan_Supuestos!$H$33-Plan_Supuestos!$G$33)*V16</f>
        <v>0.02</v>
      </c>
      <c r="W20" s="28" t="n">
        <f aca="false">Plan_Supuestos!$G$33+(Plan_Supuestos!$H$33-Plan_Supuestos!$G$33)*W16</f>
        <v>0.02</v>
      </c>
      <c r="X20" s="28" t="n">
        <f aca="false">Plan_Supuestos!$G$33+(Plan_Supuestos!$H$33-Plan_Supuestos!$G$33)*X16</f>
        <v>0.02</v>
      </c>
      <c r="Y20" s="28" t="n">
        <f aca="false">Plan_Supuestos!$G$33+(Plan_Supuestos!$H$33-Plan_Supuestos!$G$33)*Y16</f>
        <v>0.02</v>
      </c>
    </row>
    <row r="21" customFormat="false" ht="15" hidden="false" customHeight="false" outlineLevel="0" collapsed="false">
      <c r="A21" s="4" t="s">
        <v>143</v>
      </c>
      <c r="B21" s="28" t="n">
        <f aca="false">Plan_Supuestos!$G$34+(Plan_Supuestos!$D$25-Plan_Supuestos!$G$34)*B16</f>
        <v>0</v>
      </c>
      <c r="C21" s="28" t="n">
        <f aca="false">Plan_Supuestos!$G$34+(Plan_Supuestos!$D$25-Plan_Supuestos!$G$34)*C16</f>
        <v>0.00727272727272727</v>
      </c>
      <c r="D21" s="28" t="n">
        <f aca="false">Plan_Supuestos!$G$34+(Plan_Supuestos!$D$25-Plan_Supuestos!$G$34)*D16</f>
        <v>0.0145454545454545</v>
      </c>
      <c r="E21" s="28" t="n">
        <f aca="false">Plan_Supuestos!$G$34+(Plan_Supuestos!$D$25-Plan_Supuestos!$G$34)*E16</f>
        <v>0.0218181818181818</v>
      </c>
      <c r="F21" s="28" t="n">
        <f aca="false">Plan_Supuestos!$G$34+(Plan_Supuestos!$D$25-Plan_Supuestos!$G$34)*F16</f>
        <v>0.0290909090909091</v>
      </c>
      <c r="G21" s="28" t="n">
        <f aca="false">Plan_Supuestos!$G$34+(Plan_Supuestos!$D$25-Plan_Supuestos!$G$34)*G16</f>
        <v>0.0363636363636364</v>
      </c>
      <c r="H21" s="28" t="n">
        <f aca="false">Plan_Supuestos!$G$34+(Plan_Supuestos!$D$25-Plan_Supuestos!$G$34)*H16</f>
        <v>0.0436363636363636</v>
      </c>
      <c r="I21" s="28" t="n">
        <f aca="false">Plan_Supuestos!$G$34+(Plan_Supuestos!$D$25-Plan_Supuestos!$G$34)*I16</f>
        <v>0.0509090909090909</v>
      </c>
      <c r="J21" s="28" t="n">
        <f aca="false">Plan_Supuestos!$G$34+(Plan_Supuestos!$D$25-Plan_Supuestos!$G$34)*J16</f>
        <v>0.0581818181818182</v>
      </c>
      <c r="K21" s="28" t="n">
        <f aca="false">Plan_Supuestos!$G$34+(Plan_Supuestos!$D$25-Plan_Supuestos!$G$34)*K16</f>
        <v>0.0654545454545455</v>
      </c>
      <c r="L21" s="28" t="n">
        <f aca="false">Plan_Supuestos!$G$34+(Plan_Supuestos!$D$25-Plan_Supuestos!$G$34)*L16</f>
        <v>0.0727272727272727</v>
      </c>
      <c r="M21" s="28" t="n">
        <f aca="false">Plan_Supuestos!$G$34+(Plan_Supuestos!$D$25-Plan_Supuestos!$G$34)*M16</f>
        <v>0.08</v>
      </c>
      <c r="N21" s="28" t="n">
        <f aca="false">Plan_Supuestos!$G$34+(Plan_Supuestos!$D$25-Plan_Supuestos!$G$34)*N16</f>
        <v>0.08</v>
      </c>
      <c r="O21" s="28" t="n">
        <f aca="false">Plan_Supuestos!$G$34+(Plan_Supuestos!$D$25-Plan_Supuestos!$G$34)*O16</f>
        <v>0.08</v>
      </c>
      <c r="P21" s="28" t="n">
        <f aca="false">Plan_Supuestos!$G$34+(Plan_Supuestos!$D$25-Plan_Supuestos!$G$34)*P16</f>
        <v>0.08</v>
      </c>
      <c r="Q21" s="28" t="n">
        <f aca="false">Plan_Supuestos!$G$34+(Plan_Supuestos!$D$25-Plan_Supuestos!$G$34)*Q16</f>
        <v>0.08</v>
      </c>
      <c r="R21" s="28" t="n">
        <f aca="false">Plan_Supuestos!$G$34+(Plan_Supuestos!$D$25-Plan_Supuestos!$G$34)*R16</f>
        <v>0.08</v>
      </c>
      <c r="S21" s="28" t="n">
        <f aca="false">Plan_Supuestos!$G$34+(Plan_Supuestos!$D$25-Plan_Supuestos!$G$34)*S16</f>
        <v>0.08</v>
      </c>
      <c r="T21" s="28" t="n">
        <f aca="false">Plan_Supuestos!$G$34+(Plan_Supuestos!$D$25-Plan_Supuestos!$G$34)*T16</f>
        <v>0.08</v>
      </c>
      <c r="U21" s="28" t="n">
        <f aca="false">Plan_Supuestos!$G$34+(Plan_Supuestos!$D$25-Plan_Supuestos!$G$34)*U16</f>
        <v>0.08</v>
      </c>
      <c r="V21" s="28" t="n">
        <f aca="false">Plan_Supuestos!$G$34+(Plan_Supuestos!$D$25-Plan_Supuestos!$G$34)*V16</f>
        <v>0.08</v>
      </c>
      <c r="W21" s="28" t="n">
        <f aca="false">Plan_Supuestos!$G$34+(Plan_Supuestos!$D$25-Plan_Supuestos!$G$34)*W16</f>
        <v>0.08</v>
      </c>
      <c r="X21" s="28" t="n">
        <f aca="false">Plan_Supuestos!$G$34+(Plan_Supuestos!$D$25-Plan_Supuestos!$G$34)*X16</f>
        <v>0.08</v>
      </c>
      <c r="Y21" s="28" t="n">
        <f aca="false">Plan_Supuestos!$G$34+(Plan_Supuestos!$D$25-Plan_Supuestos!$G$34)*Y16</f>
        <v>0.08</v>
      </c>
    </row>
    <row r="22" customFormat="false" ht="15" hidden="false" customHeight="false" outlineLevel="0" collapsed="false">
      <c r="A22" s="4" t="s">
        <v>144</v>
      </c>
      <c r="B22" s="28" t="n">
        <f aca="false">Plan_Supuestos!$G$35+(Plan_Supuestos!$H$35-Plan_Supuestos!$G$35)*B16</f>
        <v>0</v>
      </c>
      <c r="C22" s="28" t="n">
        <f aca="false">Plan_Supuestos!$G$35+(Plan_Supuestos!$H$35-Plan_Supuestos!$G$35)*C16</f>
        <v>0</v>
      </c>
      <c r="D22" s="28" t="n">
        <f aca="false">Plan_Supuestos!$G$35+(Plan_Supuestos!$H$35-Plan_Supuestos!$G$35)*D16</f>
        <v>0</v>
      </c>
      <c r="E22" s="28" t="n">
        <f aca="false">Plan_Supuestos!$G$35+(Plan_Supuestos!$H$35-Plan_Supuestos!$G$35)*E16</f>
        <v>0</v>
      </c>
      <c r="F22" s="28" t="n">
        <f aca="false">Plan_Supuestos!$G$35+(Plan_Supuestos!$H$35-Plan_Supuestos!$G$35)*F16</f>
        <v>0</v>
      </c>
      <c r="G22" s="28" t="n">
        <f aca="false">Plan_Supuestos!$G$35+(Plan_Supuestos!$H$35-Plan_Supuestos!$G$35)*G16</f>
        <v>0</v>
      </c>
      <c r="H22" s="28" t="n">
        <f aca="false">Plan_Supuestos!$G$35+(Plan_Supuestos!$H$35-Plan_Supuestos!$G$35)*H16</f>
        <v>0</v>
      </c>
      <c r="I22" s="28" t="n">
        <f aca="false">Plan_Supuestos!$G$35+(Plan_Supuestos!$H$35-Plan_Supuestos!$G$35)*I16</f>
        <v>0</v>
      </c>
      <c r="J22" s="28" t="n">
        <f aca="false">Plan_Supuestos!$G$35+(Plan_Supuestos!$H$35-Plan_Supuestos!$G$35)*J16</f>
        <v>0</v>
      </c>
      <c r="K22" s="28" t="n">
        <f aca="false">Plan_Supuestos!$G$35+(Plan_Supuestos!$H$35-Plan_Supuestos!$G$35)*K16</f>
        <v>0</v>
      </c>
      <c r="L22" s="28" t="n">
        <f aca="false">Plan_Supuestos!$G$35+(Plan_Supuestos!$H$35-Plan_Supuestos!$G$35)*L16</f>
        <v>0</v>
      </c>
      <c r="M22" s="28" t="n">
        <f aca="false">Plan_Supuestos!$G$35+(Plan_Supuestos!$H$35-Plan_Supuestos!$G$35)*M16</f>
        <v>0</v>
      </c>
      <c r="N22" s="28" t="n">
        <f aca="false">Plan_Supuestos!$G$35+(Plan_Supuestos!$H$35-Plan_Supuestos!$G$35)*N16</f>
        <v>0</v>
      </c>
      <c r="O22" s="28" t="n">
        <f aca="false">Plan_Supuestos!$G$35+(Plan_Supuestos!$H$35-Plan_Supuestos!$G$35)*O16</f>
        <v>0</v>
      </c>
      <c r="P22" s="28" t="n">
        <f aca="false">Plan_Supuestos!$G$35+(Plan_Supuestos!$H$35-Plan_Supuestos!$G$35)*P16</f>
        <v>0</v>
      </c>
      <c r="Q22" s="28" t="n">
        <f aca="false">Plan_Supuestos!$G$35+(Plan_Supuestos!$H$35-Plan_Supuestos!$G$35)*Q16</f>
        <v>0</v>
      </c>
      <c r="R22" s="28" t="n">
        <f aca="false">Plan_Supuestos!$G$35+(Plan_Supuestos!$H$35-Plan_Supuestos!$G$35)*R16</f>
        <v>0</v>
      </c>
      <c r="S22" s="28" t="n">
        <f aca="false">Plan_Supuestos!$G$35+(Plan_Supuestos!$H$35-Plan_Supuestos!$G$35)*S16</f>
        <v>0</v>
      </c>
      <c r="T22" s="28" t="n">
        <f aca="false">Plan_Supuestos!$G$35+(Plan_Supuestos!$H$35-Plan_Supuestos!$G$35)*T16</f>
        <v>0</v>
      </c>
      <c r="U22" s="28" t="n">
        <f aca="false">Plan_Supuestos!$G$35+(Plan_Supuestos!$H$35-Plan_Supuestos!$G$35)*U16</f>
        <v>0</v>
      </c>
      <c r="V22" s="28" t="n">
        <f aca="false">Plan_Supuestos!$G$35+(Plan_Supuestos!$H$35-Plan_Supuestos!$G$35)*V16</f>
        <v>0</v>
      </c>
      <c r="W22" s="28" t="n">
        <f aca="false">Plan_Supuestos!$G$35+(Plan_Supuestos!$H$35-Plan_Supuestos!$G$35)*W16</f>
        <v>0</v>
      </c>
      <c r="X22" s="28" t="n">
        <f aca="false">Plan_Supuestos!$G$35+(Plan_Supuestos!$H$35-Plan_Supuestos!$G$35)*X16</f>
        <v>0</v>
      </c>
      <c r="Y22" s="28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145</v>
      </c>
      <c r="B23" s="6" t="n">
        <f aca="false">SUMPRODUCT(B17:B22,Plan_Supuestos!$D$30:$D$35)+(Plan_Supuestos!$B$43+(Plan_Supuestos!$B$44-Plan_Supuestos!$B$43)*B16)*Plan_Supuestos!$B$45</f>
        <v>202.244271604837</v>
      </c>
      <c r="C23" s="6" t="n">
        <f aca="false">SUMPRODUCT(C17:C22,Plan_Supuestos!$D$30:$D$35)+(Plan_Supuestos!$B$43+(Plan_Supuestos!$B$44-Plan_Supuestos!$B$43)*C16)*Plan_Supuestos!$B$45</f>
        <v>207.756891351089</v>
      </c>
      <c r="D23" s="6" t="n">
        <f aca="false">SUMPRODUCT(D17:D22,Plan_Supuestos!$D$30:$D$35)+(Plan_Supuestos!$B$43+(Plan_Supuestos!$B$44-Plan_Supuestos!$B$43)*D16)*Plan_Supuestos!$B$45</f>
        <v>213.269511097341</v>
      </c>
      <c r="E23" s="6" t="n">
        <f aca="false">SUMPRODUCT(E17:E22,Plan_Supuestos!$D$30:$D$35)+(Plan_Supuestos!$B$43+(Plan_Supuestos!$B$44-Plan_Supuestos!$B$43)*E16)*Plan_Supuestos!$B$45</f>
        <v>218.782130843593</v>
      </c>
      <c r="F23" s="6" t="n">
        <f aca="false">SUMPRODUCT(F17:F22,Plan_Supuestos!$D$30:$D$35)+(Plan_Supuestos!$B$43+(Plan_Supuestos!$B$44-Plan_Supuestos!$B$43)*F16)*Plan_Supuestos!$B$45</f>
        <v>224.294750589845</v>
      </c>
      <c r="G23" s="6" t="n">
        <f aca="false">SUMPRODUCT(G17:G22,Plan_Supuestos!$D$30:$D$35)+(Plan_Supuestos!$B$43+(Plan_Supuestos!$B$44-Plan_Supuestos!$B$43)*G16)*Plan_Supuestos!$B$45</f>
        <v>229.807370336097</v>
      </c>
      <c r="H23" s="6" t="n">
        <f aca="false">SUMPRODUCT(H17:H22,Plan_Supuestos!$D$30:$D$35)+(Plan_Supuestos!$B$43+(Plan_Supuestos!$B$44-Plan_Supuestos!$B$43)*H16)*Plan_Supuestos!$B$45</f>
        <v>235.319990082349</v>
      </c>
      <c r="I23" s="6" t="n">
        <f aca="false">SUMPRODUCT(I17:I22,Plan_Supuestos!$D$30:$D$35)+(Plan_Supuestos!$B$43+(Plan_Supuestos!$B$44-Plan_Supuestos!$B$43)*I16)*Plan_Supuestos!$B$45</f>
        <v>240.832609828601</v>
      </c>
      <c r="J23" s="6" t="n">
        <f aca="false">SUMPRODUCT(J17:J22,Plan_Supuestos!$D$30:$D$35)+(Plan_Supuestos!$B$43+(Plan_Supuestos!$B$44-Plan_Supuestos!$B$43)*J16)*Plan_Supuestos!$B$45</f>
        <v>246.345229574853</v>
      </c>
      <c r="K23" s="6" t="n">
        <f aca="false">SUMPRODUCT(K17:K22,Plan_Supuestos!$D$30:$D$35)+(Plan_Supuestos!$B$43+(Plan_Supuestos!$B$44-Plan_Supuestos!$B$43)*K16)*Plan_Supuestos!$B$45</f>
        <v>251.857849321105</v>
      </c>
      <c r="L23" s="6" t="n">
        <f aca="false">SUMPRODUCT(L17:L22,Plan_Supuestos!$D$30:$D$35)+(Plan_Supuestos!$B$43+(Plan_Supuestos!$B$44-Plan_Supuestos!$B$43)*L16)*Plan_Supuestos!$B$45</f>
        <v>257.370469067357</v>
      </c>
      <c r="M23" s="6" t="n">
        <f aca="false">SUMPRODUCT(M17:M22,Plan_Supuestos!$D$30:$D$35)+(Plan_Supuestos!$B$43+(Plan_Supuestos!$B$44-Plan_Supuestos!$B$43)*M16)*Plan_Supuestos!$B$45</f>
        <v>262.883088813609</v>
      </c>
      <c r="N23" s="6" t="n">
        <f aca="false">SUMPRODUCT(N17:N22,Plan_Supuestos!$D$30:$D$35)+(Plan_Supuestos!$B$43+(Plan_Supuestos!$B$44-Plan_Supuestos!$B$43)*N16)*Plan_Supuestos!$B$45</f>
        <v>262.883088813609</v>
      </c>
      <c r="O23" s="6" t="n">
        <f aca="false">SUMPRODUCT(O17:O22,Plan_Supuestos!$D$30:$D$35)+(Plan_Supuestos!$B$43+(Plan_Supuestos!$B$44-Plan_Supuestos!$B$43)*O16)*Plan_Supuestos!$B$45</f>
        <v>262.883088813609</v>
      </c>
      <c r="P23" s="6" t="n">
        <f aca="false">SUMPRODUCT(P17:P22,Plan_Supuestos!$D$30:$D$35)+(Plan_Supuestos!$B$43+(Plan_Supuestos!$B$44-Plan_Supuestos!$B$43)*P16)*Plan_Supuestos!$B$45</f>
        <v>262.883088813609</v>
      </c>
      <c r="Q23" s="6" t="n">
        <f aca="false">SUMPRODUCT(Q17:Q22,Plan_Supuestos!$D$30:$D$35)+(Plan_Supuestos!$B$43+(Plan_Supuestos!$B$44-Plan_Supuestos!$B$43)*Q16)*Plan_Supuestos!$B$45</f>
        <v>262.883088813609</v>
      </c>
      <c r="R23" s="6" t="n">
        <f aca="false">SUMPRODUCT(R17:R22,Plan_Supuestos!$D$30:$D$35)+(Plan_Supuestos!$B$43+(Plan_Supuestos!$B$44-Plan_Supuestos!$B$43)*R16)*Plan_Supuestos!$B$45</f>
        <v>262.883088813609</v>
      </c>
      <c r="S23" s="6" t="n">
        <f aca="false">SUMPRODUCT(S17:S22,Plan_Supuestos!$D$30:$D$35)+(Plan_Supuestos!$B$43+(Plan_Supuestos!$B$44-Plan_Supuestos!$B$43)*S16)*Plan_Supuestos!$B$45</f>
        <v>262.883088813609</v>
      </c>
      <c r="T23" s="6" t="n">
        <f aca="false">SUMPRODUCT(T17:T22,Plan_Supuestos!$D$30:$D$35)+(Plan_Supuestos!$B$43+(Plan_Supuestos!$B$44-Plan_Supuestos!$B$43)*T16)*Plan_Supuestos!$B$45</f>
        <v>262.883088813609</v>
      </c>
      <c r="U23" s="6" t="n">
        <f aca="false">SUMPRODUCT(U17:U22,Plan_Supuestos!$D$30:$D$35)+(Plan_Supuestos!$B$43+(Plan_Supuestos!$B$44-Plan_Supuestos!$B$43)*U16)*Plan_Supuestos!$B$45</f>
        <v>262.883088813609</v>
      </c>
      <c r="V23" s="6" t="n">
        <f aca="false">SUMPRODUCT(V17:V22,Plan_Supuestos!$D$30:$D$35)+(Plan_Supuestos!$B$43+(Plan_Supuestos!$B$44-Plan_Supuestos!$B$43)*V16)*Plan_Supuestos!$B$45</f>
        <v>262.883088813609</v>
      </c>
      <c r="W23" s="6" t="n">
        <f aca="false">SUMPRODUCT(W17:W22,Plan_Supuestos!$D$30:$D$35)+(Plan_Supuestos!$B$43+(Plan_Supuestos!$B$44-Plan_Supuestos!$B$43)*W16)*Plan_Supuestos!$B$45</f>
        <v>262.883088813609</v>
      </c>
      <c r="X23" s="6" t="n">
        <f aca="false">SUMPRODUCT(X17:X22,Plan_Supuestos!$D$30:$D$35)+(Plan_Supuestos!$B$43+(Plan_Supuestos!$B$44-Plan_Supuestos!$B$43)*X16)*Plan_Supuestos!$B$45</f>
        <v>262.883088813609</v>
      </c>
      <c r="Y23" s="6" t="n">
        <f aca="false">SUMPRODUCT(Y17:Y22,Plan_Supuestos!$D$30:$D$35)+(Plan_Supuestos!$B$43+(Plan_Supuestos!$B$44-Plan_Supuestos!$B$43)*Y16)*Plan_Supuestos!$B$45</f>
        <v>262.883088813609</v>
      </c>
    </row>
    <row r="24" customFormat="false" ht="15" hidden="false" customHeight="false" outlineLevel="0" collapsed="false">
      <c r="A24" s="4" t="s">
        <v>146</v>
      </c>
      <c r="B24" s="6" t="n">
        <f aca="false">Plan_Supuestos!$D$26*MIN(1,B$4/6)*Plan_Supuestos!$B$8*SUMPRODUCT(B17:B22,Plan_Supuestos!$E$30:$E$35)</f>
        <v>3.11109305589688</v>
      </c>
      <c r="C24" s="6" t="n">
        <f aca="false">Plan_Supuestos!$D$26*MIN(1,C$4/6)*Plan_Supuestos!$B$8*SUMPRODUCT(C17:C22,Plan_Supuestos!$E$30:$E$35)</f>
        <v>6.3804694881031</v>
      </c>
      <c r="D24" s="6" t="n">
        <f aca="false">Plan_Supuestos!$D$26*MIN(1,D$4/6)*Plan_Supuestos!$B$8*SUMPRODUCT(D17:D22,Plan_Supuestos!$E$30:$E$35)</f>
        <v>9.80812929661866</v>
      </c>
      <c r="E24" s="6" t="n">
        <f aca="false">Plan_Supuestos!$D$26*MIN(1,E$4/6)*Plan_Supuestos!$B$8*SUMPRODUCT(E17:E22,Plan_Supuestos!$E$30:$E$35)</f>
        <v>13.3940724814436</v>
      </c>
      <c r="F24" s="6" t="n">
        <f aca="false">Plan_Supuestos!$D$26*MIN(1,F$4/6)*Plan_Supuestos!$B$8*SUMPRODUCT(F17:F22,Plan_Supuestos!$E$30:$E$35)</f>
        <v>17.1382990425778</v>
      </c>
      <c r="G24" s="6" t="n">
        <f aca="false">Plan_Supuestos!$D$26*MIN(1,G$4/6)*Plan_Supuestos!$B$8*SUMPRODUCT(G17:G22,Plan_Supuestos!$E$30:$E$35)</f>
        <v>21.0408089800214</v>
      </c>
      <c r="H24" s="6" t="n">
        <f aca="false">Plan_Supuestos!$D$26*MIN(1,H$4/6)*Plan_Supuestos!$B$8*SUMPRODUCT(H17:H22,Plan_Supuestos!$E$30:$E$35)</f>
        <v>21.5156591089494</v>
      </c>
      <c r="I24" s="6" t="n">
        <f aca="false">Plan_Supuestos!$D$26*MIN(1,I$4/6)*Plan_Supuestos!$B$8*SUMPRODUCT(I17:I22,Plan_Supuestos!$E$30:$E$35)</f>
        <v>21.9905092378774</v>
      </c>
      <c r="J24" s="6" t="n">
        <f aca="false">Plan_Supuestos!$D$26*MIN(1,J$4/6)*Plan_Supuestos!$B$8*SUMPRODUCT(J17:J22,Plan_Supuestos!$E$30:$E$35)</f>
        <v>22.4653593668054</v>
      </c>
      <c r="K24" s="6" t="n">
        <f aca="false">Plan_Supuestos!$D$26*MIN(1,K$4/6)*Plan_Supuestos!$B$8*SUMPRODUCT(K17:K22,Plan_Supuestos!$E$30:$E$35)</f>
        <v>22.9402094957335</v>
      </c>
      <c r="L24" s="6" t="n">
        <f aca="false">Plan_Supuestos!$D$26*MIN(1,L$4/6)*Plan_Supuestos!$B$8*SUMPRODUCT(L17:L22,Plan_Supuestos!$E$30:$E$35)</f>
        <v>23.4150596246615</v>
      </c>
      <c r="M24" s="6" t="n">
        <f aca="false">Plan_Supuestos!$D$26*MIN(1,M$4/6)*Plan_Supuestos!$B$8*SUMPRODUCT(M17:M22,Plan_Supuestos!$E$30:$E$35)</f>
        <v>23.8899097535895</v>
      </c>
      <c r="N24" s="6" t="n">
        <f aca="false">Plan_Supuestos!$D$26*MIN(1,N$4/6)*Plan_Supuestos!$B$8*SUMPRODUCT(N17:N22,Plan_Supuestos!$E$30:$E$35)</f>
        <v>23.8899097535895</v>
      </c>
      <c r="O24" s="6" t="n">
        <f aca="false">Plan_Supuestos!$D$26*MIN(1,O$4/6)*Plan_Supuestos!$B$8*SUMPRODUCT(O17:O22,Plan_Supuestos!$E$30:$E$35)</f>
        <v>23.8899097535895</v>
      </c>
      <c r="P24" s="6" t="n">
        <f aca="false">Plan_Supuestos!$D$26*MIN(1,P$4/6)*Plan_Supuestos!$B$8*SUMPRODUCT(P17:P22,Plan_Supuestos!$E$30:$E$35)</f>
        <v>23.8899097535895</v>
      </c>
      <c r="Q24" s="6" t="n">
        <f aca="false">Plan_Supuestos!$D$26*MIN(1,Q$4/6)*Plan_Supuestos!$B$8*SUMPRODUCT(Q17:Q22,Plan_Supuestos!$E$30:$E$35)</f>
        <v>23.8899097535895</v>
      </c>
      <c r="R24" s="6" t="n">
        <f aca="false">Plan_Supuestos!$D$26*MIN(1,R$4/6)*Plan_Supuestos!$B$8*SUMPRODUCT(R17:R22,Plan_Supuestos!$E$30:$E$35)</f>
        <v>23.8899097535895</v>
      </c>
      <c r="S24" s="6" t="n">
        <f aca="false">Plan_Supuestos!$D$26*MIN(1,S$4/6)*Plan_Supuestos!$B$8*SUMPRODUCT(S17:S22,Plan_Supuestos!$E$30:$E$35)</f>
        <v>23.8899097535895</v>
      </c>
      <c r="T24" s="6" t="n">
        <f aca="false">Plan_Supuestos!$D$26*MIN(1,T$4/6)*Plan_Supuestos!$B$8*SUMPRODUCT(T17:T22,Plan_Supuestos!$E$30:$E$35)</f>
        <v>23.8899097535895</v>
      </c>
      <c r="U24" s="6" t="n">
        <f aca="false">Plan_Supuestos!$D$26*MIN(1,U$4/6)*Plan_Supuestos!$B$8*SUMPRODUCT(U17:U22,Plan_Supuestos!$E$30:$E$35)</f>
        <v>23.8899097535895</v>
      </c>
      <c r="V24" s="6" t="n">
        <f aca="false">Plan_Supuestos!$D$26*MIN(1,V$4/6)*Plan_Supuestos!$B$8*SUMPRODUCT(V17:V22,Plan_Supuestos!$E$30:$E$35)</f>
        <v>23.8899097535895</v>
      </c>
      <c r="W24" s="6" t="n">
        <f aca="false">Plan_Supuestos!$D$26*MIN(1,W$4/6)*Plan_Supuestos!$B$8*SUMPRODUCT(W17:W22,Plan_Supuestos!$E$30:$E$35)</f>
        <v>23.8899097535895</v>
      </c>
      <c r="X24" s="6" t="n">
        <f aca="false">Plan_Supuestos!$D$26*MIN(1,X$4/6)*Plan_Supuestos!$B$8*SUMPRODUCT(X17:X22,Plan_Supuestos!$E$30:$E$35)</f>
        <v>23.8899097535895</v>
      </c>
      <c r="Y24" s="6" t="n">
        <f aca="false">Plan_Supuestos!$D$26*MIN(1,Y$4/6)*Plan_Supuestos!$B$8*SUMPRODUCT(Y17:Y22,Plan_Supuestos!$E$30:$E$35)</f>
        <v>23.8899097535895</v>
      </c>
    </row>
    <row r="25" customFormat="false" ht="15" hidden="false" customHeight="false" outlineLevel="0" collapsed="false">
      <c r="A25" s="4" t="s">
        <v>147</v>
      </c>
      <c r="B25" s="5" t="n">
        <f aca="false">B12*(B23+B24)</f>
        <v>40324.3261515622</v>
      </c>
      <c r="C25" s="5" t="n">
        <f aca="false">C12*(C23+C24)</f>
        <v>48074.0206473036</v>
      </c>
      <c r="D25" s="5" t="n">
        <f aca="false">D12*(D23+D24)</f>
        <v>57270.5959593827</v>
      </c>
      <c r="E25" s="5" t="n">
        <f aca="false">E12*(E23+E24)</f>
        <v>68179.6696162719</v>
      </c>
      <c r="F25" s="5" t="n">
        <f aca="false">F12*(F23+F24)</f>
        <v>81115.2647023702</v>
      </c>
      <c r="G25" s="5" t="n">
        <f aca="false">G12*(G23+G24)</f>
        <v>96448.6399638849</v>
      </c>
      <c r="H25" s="5" t="n">
        <f aca="false">H12*(H23+H24)</f>
        <v>113040.472409329</v>
      </c>
      <c r="I25" s="5" t="n">
        <f aca="false">I12*(I23+I24)</f>
        <v>132450.543821598</v>
      </c>
      <c r="J25" s="5" t="n">
        <f aca="false">J12*(J23+J24)</f>
        <v>155156.537991425</v>
      </c>
      <c r="K25" s="5" t="n">
        <f aca="false">K12*(K23+K24)</f>
        <v>181717.644118082</v>
      </c>
      <c r="L25" s="5" t="n">
        <f aca="false">L12*(L23+L24)</f>
        <v>212788.67209427</v>
      </c>
      <c r="M25" s="5" t="n">
        <f aca="false">M12*(M23+M24)</f>
        <v>249136.66997139</v>
      </c>
      <c r="N25" s="5" t="n">
        <f aca="false">N12*(N23+N24)</f>
        <v>285695.528158468</v>
      </c>
      <c r="O25" s="5" t="n">
        <f aca="false">O12*(O23+O24)</f>
        <v>327728.778252207</v>
      </c>
      <c r="P25" s="5" t="n">
        <f aca="false">P12*(P23+P24)</f>
        <v>376076.790925076</v>
      </c>
      <c r="Q25" s="5" t="n">
        <f aca="false">Q12*(Q23+Q24)</f>
        <v>431712.959088757</v>
      </c>
      <c r="R25" s="5" t="n">
        <f aca="false">R12*(R23+R24)</f>
        <v>495765.567062018</v>
      </c>
      <c r="S25" s="5" t="n">
        <f aca="false">S12*(S23+S24)</f>
        <v>565746.470407069</v>
      </c>
      <c r="T25" s="5" t="n">
        <f aca="false">T12*(T23+T24)</f>
        <v>637110.873863983</v>
      </c>
      <c r="U25" s="5" t="n">
        <f aca="false">U12*(U23+U24)</f>
        <v>717477.32743903</v>
      </c>
      <c r="V25" s="5" t="n">
        <f aca="false">V12*(V23+V24)</f>
        <v>807981.367932127</v>
      </c>
      <c r="W25" s="5" t="n">
        <f aca="false">W12*(W23+W24)</f>
        <v>909901.771050663</v>
      </c>
      <c r="X25" s="5" t="n">
        <f aca="false">X12*(X23+X24)</f>
        <v>1024678.61985486</v>
      </c>
      <c r="Y25" s="5" t="n">
        <f aca="false">Y12*(Y23+Y24)</f>
        <v>1153933.65239334</v>
      </c>
    </row>
    <row r="26" customFormat="false" ht="15" hidden="false" customHeight="false" outlineLevel="0" collapsed="false">
      <c r="A26" s="4" t="s">
        <v>148</v>
      </c>
      <c r="B26" s="5" t="n">
        <f aca="false">B14*Plan_Supuestos!$D$36</f>
        <v>1175.32953169811</v>
      </c>
      <c r="C26" s="5" t="n">
        <f aca="false">C14*Plan_Supuestos!$D$36</f>
        <v>1175.32953169811</v>
      </c>
      <c r="D26" s="5" t="n">
        <f aca="false">D14*Plan_Supuestos!$D$36</f>
        <v>1175.32953169811</v>
      </c>
      <c r="E26" s="5" t="n">
        <f aca="false">E14*Plan_Supuestos!$D$36</f>
        <v>1175.32953169811</v>
      </c>
      <c r="F26" s="5" t="n">
        <f aca="false">F14*Plan_Supuestos!$D$36</f>
        <v>1175.32953169811</v>
      </c>
      <c r="G26" s="5" t="n">
        <f aca="false">G14*Plan_Supuestos!$D$36</f>
        <v>1175.32953169811</v>
      </c>
      <c r="H26" s="5" t="n">
        <f aca="false">H14*Plan_Supuestos!$D$36</f>
        <v>1175.32953169811</v>
      </c>
      <c r="I26" s="5" t="n">
        <f aca="false">I14*Plan_Supuestos!$D$36</f>
        <v>1175.32953169811</v>
      </c>
      <c r="J26" s="5" t="n">
        <f aca="false">J14*Plan_Supuestos!$D$36</f>
        <v>1175.32953169811</v>
      </c>
      <c r="K26" s="5" t="n">
        <f aca="false">K14*Plan_Supuestos!$D$36</f>
        <v>1175.32953169811</v>
      </c>
      <c r="L26" s="5" t="n">
        <f aca="false">L14*Plan_Supuestos!$D$36</f>
        <v>1175.32953169811</v>
      </c>
      <c r="M26" s="5" t="n">
        <f aca="false">M14*Plan_Supuestos!$D$36</f>
        <v>1175.32953169811</v>
      </c>
      <c r="N26" s="5" t="n">
        <f aca="false">N14*Plan_Supuestos!$D$36</f>
        <v>3846.53301283019</v>
      </c>
      <c r="O26" s="5" t="n">
        <f aca="false">O14*Plan_Supuestos!$D$36</f>
        <v>4397.70808425719</v>
      </c>
      <c r="P26" s="5" t="n">
        <f aca="false">P14*Plan_Supuestos!$D$36</f>
        <v>5029.02805574322</v>
      </c>
      <c r="Q26" s="5" t="n">
        <f aca="false">Q14*Plan_Supuestos!$D$36</f>
        <v>5752.35374497313</v>
      </c>
      <c r="R26" s="5" t="n">
        <f aca="false">R14*Plan_Supuestos!$D$36</f>
        <v>6581.33909320164</v>
      </c>
      <c r="S26" s="5" t="n">
        <f aca="false">S14*Plan_Supuestos!$D$36</f>
        <v>7531.7093623934</v>
      </c>
      <c r="T26" s="5" t="n">
        <f aca="false">T14*Plan_Supuestos!$D$36</f>
        <v>8621.58387527374</v>
      </c>
      <c r="U26" s="5" t="n">
        <f aca="false">U14*Plan_Supuestos!$D$36</f>
        <v>9871.85070805635</v>
      </c>
      <c r="V26" s="5" t="n">
        <f aca="false">V14*Plan_Supuestos!$D$36</f>
        <v>11306.6020362353</v>
      </c>
      <c r="W26" s="5" t="n">
        <f aca="false">W14*Plan_Supuestos!$D$36</f>
        <v>12953.640361833</v>
      </c>
      <c r="X26" s="5" t="n">
        <f aca="false">X14*Plan_Supuestos!$D$36</f>
        <v>14845.0676623926</v>
      </c>
      <c r="Y26" s="5" t="n">
        <f aca="false">Y14*Plan_Supuestos!$D$36</f>
        <v>17017.9716540785</v>
      </c>
    </row>
    <row r="27" customFormat="false" ht="15" hidden="false" customHeight="false" outlineLevel="0" collapsed="false">
      <c r="A27" s="4" t="s">
        <v>149</v>
      </c>
      <c r="B27" s="5" t="n">
        <f aca="false">-B7</f>
        <v>-9000</v>
      </c>
      <c r="C27" s="5" t="n">
        <f aca="false">-C7</f>
        <v>-10350</v>
      </c>
      <c r="D27" s="5" t="n">
        <f aca="false">-D7</f>
        <v>-11902.5</v>
      </c>
      <c r="E27" s="5" t="n">
        <f aca="false">-E7</f>
        <v>-13687.875</v>
      </c>
      <c r="F27" s="5" t="n">
        <f aca="false">-F7</f>
        <v>-15741.05625</v>
      </c>
      <c r="G27" s="5" t="n">
        <f aca="false">-G7</f>
        <v>-18102.2146875</v>
      </c>
      <c r="H27" s="5" t="n">
        <f aca="false">-H7</f>
        <v>-20817.546890625</v>
      </c>
      <c r="I27" s="5" t="n">
        <f aca="false">-I7</f>
        <v>-23940.1789242187</v>
      </c>
      <c r="J27" s="5" t="n">
        <f aca="false">-J7</f>
        <v>-27531.2057628515</v>
      </c>
      <c r="K27" s="5" t="n">
        <f aca="false">-K7</f>
        <v>-31660.8866272793</v>
      </c>
      <c r="L27" s="5" t="n">
        <f aca="false">-L7</f>
        <v>-36410.0196213712</v>
      </c>
      <c r="M27" s="5" t="n">
        <f aca="false">-M7</f>
        <v>-41871.5225645768</v>
      </c>
      <c r="N27" s="5" t="n">
        <f aca="false">-N7</f>
        <v>-48152.2509492634</v>
      </c>
      <c r="O27" s="5" t="n">
        <f aca="false">-O7</f>
        <v>-55375.0885916529</v>
      </c>
      <c r="P27" s="5" t="n">
        <f aca="false">-P7</f>
        <v>-63681.3518804008</v>
      </c>
      <c r="Q27" s="5" t="n">
        <f aca="false">-Q7</f>
        <v>-73233.5546624609</v>
      </c>
      <c r="R27" s="5" t="n">
        <f aca="false">-R7</f>
        <v>-84218.58786183</v>
      </c>
      <c r="S27" s="5" t="n">
        <f aca="false">-S7</f>
        <v>-96851.3760411045</v>
      </c>
      <c r="T27" s="5" t="n">
        <f aca="false">-T7</f>
        <v>-111379.08244727</v>
      </c>
      <c r="U27" s="5" t="n">
        <f aca="false">-U7</f>
        <v>-128085.944814361</v>
      </c>
      <c r="V27" s="5" t="n">
        <f aca="false">-V7</f>
        <v>-147298.836536515</v>
      </c>
      <c r="W27" s="5" t="n">
        <f aca="false">-W7</f>
        <v>-169393.662016992</v>
      </c>
      <c r="X27" s="5" t="n">
        <f aca="false">-X7</f>
        <v>-194802.711319541</v>
      </c>
      <c r="Y27" s="5" t="n">
        <f aca="false">-Y7</f>
        <v>-224023.118017472</v>
      </c>
    </row>
    <row r="28" customFormat="false" ht="15" hidden="false" customHeight="false" outlineLevel="0" collapsed="false">
      <c r="A28" s="4" t="s">
        <v>150</v>
      </c>
      <c r="B28" s="5" t="n">
        <f aca="false">B25+B26+B27</f>
        <v>32499.6556832603</v>
      </c>
      <c r="C28" s="5" t="n">
        <f aca="false">C25+C26+C27</f>
        <v>38899.3501790017</v>
      </c>
      <c r="D28" s="5" t="n">
        <f aca="false">D25+D26+D27</f>
        <v>46543.4254910808</v>
      </c>
      <c r="E28" s="5" t="n">
        <f aca="false">E25+E26+E27</f>
        <v>55667.12414797</v>
      </c>
      <c r="F28" s="5" t="n">
        <f aca="false">F25+F26+F27</f>
        <v>66549.5379840683</v>
      </c>
      <c r="G28" s="5" t="n">
        <f aca="false">G25+G26+G27</f>
        <v>79521.754808083</v>
      </c>
      <c r="H28" s="5" t="n">
        <f aca="false">H25+H26+H27</f>
        <v>93398.2550504017</v>
      </c>
      <c r="I28" s="5" t="n">
        <f aca="false">I25+I26+I27</f>
        <v>109685.694429078</v>
      </c>
      <c r="J28" s="5" t="n">
        <f aca="false">J25+J26+J27</f>
        <v>128800.661760271</v>
      </c>
      <c r="K28" s="5" t="n">
        <f aca="false">K25+K26+K27</f>
        <v>151232.0870225</v>
      </c>
      <c r="L28" s="5" t="n">
        <f aca="false">L25+L26+L27</f>
        <v>177553.982004596</v>
      </c>
      <c r="M28" s="5" t="n">
        <f aca="false">M25+M26+M27</f>
        <v>208440.476938511</v>
      </c>
      <c r="N28" s="5" t="n">
        <f aca="false">N25+N26+N27</f>
        <v>241389.810222035</v>
      </c>
      <c r="O28" s="5" t="n">
        <f aca="false">O25+O26+O27</f>
        <v>276751.397744811</v>
      </c>
      <c r="P28" s="5" t="n">
        <f aca="false">P25+P26+P27</f>
        <v>317424.467100419</v>
      </c>
      <c r="Q28" s="5" t="n">
        <f aca="false">Q25+Q26+Q27</f>
        <v>364231.758171269</v>
      </c>
      <c r="R28" s="5" t="n">
        <f aca="false">R25+R26+R27</f>
        <v>418128.31829339</v>
      </c>
      <c r="S28" s="5" t="n">
        <f aca="false">S25+S26+S27</f>
        <v>476426.803728358</v>
      </c>
      <c r="T28" s="5" t="n">
        <f aca="false">T25+T26+T27</f>
        <v>534353.375291987</v>
      </c>
      <c r="U28" s="5" t="n">
        <f aca="false">U25+U26+U27</f>
        <v>599263.233332726</v>
      </c>
      <c r="V28" s="5" t="n">
        <f aca="false">V25+V26+V27</f>
        <v>671989.133431847</v>
      </c>
      <c r="W28" s="5" t="n">
        <f aca="false">W25+W26+W27</f>
        <v>753461.749395505</v>
      </c>
      <c r="X28" s="5" t="n">
        <f aca="false">X25+X26+X27</f>
        <v>844720.976197713</v>
      </c>
      <c r="Y28" s="5" t="n">
        <f aca="false">Y25+Y26+Y27</f>
        <v>946928.506029948</v>
      </c>
    </row>
    <row r="29" customFormat="false" ht="15" hidden="false" customHeight="false" outlineLevel="0" collapsed="false">
      <c r="A29" s="4" t="s">
        <v>151</v>
      </c>
      <c r="B29" s="5" t="n">
        <f aca="false">-(Plan_Supuestos!$B$9+Plan_Supuestos!$B$10*B15)</f>
        <v>-16647.7090909091</v>
      </c>
      <c r="C29" s="5" t="n">
        <f aca="false">-(Plan_Supuestos!$B$9+Plan_Supuestos!$B$10*C15)</f>
        <v>-16872.8068419226</v>
      </c>
      <c r="D29" s="5" t="n">
        <f aca="false">-(Plan_Supuestos!$B$9+Plan_Supuestos!$B$10*D15)</f>
        <v>-17130.6354577623</v>
      </c>
      <c r="E29" s="5" t="n">
        <f aca="false">-(Plan_Supuestos!$B$9+Plan_Supuestos!$B$10*E15)</f>
        <v>-17426.0388501443</v>
      </c>
      <c r="F29" s="5" t="n">
        <f aca="false">-(Plan_Supuestos!$B$9+Plan_Supuestos!$B$10*F15)</f>
        <v>-17764.5932354619</v>
      </c>
      <c r="G29" s="5" t="n">
        <f aca="false">-(Plan_Supuestos!$B$9+Plan_Supuestos!$B$10*G15)</f>
        <v>-18152.7207494136</v>
      </c>
      <c r="H29" s="5" t="n">
        <f aca="false">-(Plan_Supuestos!$B$9+Plan_Supuestos!$B$10*H15)</f>
        <v>-18597.821252782</v>
      </c>
      <c r="I29" s="5" t="n">
        <f aca="false">-(Plan_Supuestos!$B$9+Plan_Supuestos!$B$10*I15)</f>
        <v>-19108.4253544833</v>
      </c>
      <c r="J29" s="5" t="n">
        <f aca="false">-(Plan_Supuestos!$B$9+Plan_Supuestos!$B$10*J15)</f>
        <v>-19694.3722050919</v>
      </c>
      <c r="K29" s="5" t="n">
        <f aca="false">-(Plan_Supuestos!$B$9+Plan_Supuestos!$B$10*K15)</f>
        <v>-20367.0162380762</v>
      </c>
      <c r="L29" s="5" t="n">
        <f aca="false">-(Plan_Supuestos!$B$9+Plan_Supuestos!$B$10*L15)</f>
        <v>-21139.4677759499</v>
      </c>
      <c r="M29" s="5" t="n">
        <f aca="false">-(Plan_Supuestos!$B$9+Plan_Supuestos!$B$10*M15)</f>
        <v>-22026.8732974485</v>
      </c>
      <c r="N29" s="5" t="n">
        <f aca="false">-(Plan_Supuestos!$B$9+Plan_Supuestos!$B$10*N15)</f>
        <v>-23221.2876621002</v>
      </c>
      <c r="O29" s="5" t="n">
        <f aca="false">-(Plan_Supuestos!$B$9+Plan_Supuestos!$B$10*O15)</f>
        <v>-24429.8892933772</v>
      </c>
      <c r="P29" s="5" t="n">
        <f aca="false">-(Plan_Supuestos!$B$9+Plan_Supuestos!$B$10*P15)</f>
        <v>-25819.8884530592</v>
      </c>
      <c r="Q29" s="5" t="n">
        <f aca="false">-(Plan_Supuestos!$B$9+Plan_Supuestos!$B$10*Q15)</f>
        <v>-27419.2145481247</v>
      </c>
      <c r="R29" s="5" t="n">
        <f aca="false">-(Plan_Supuestos!$B$9+Plan_Supuestos!$B$10*R15)</f>
        <v>-29260.2351024474</v>
      </c>
      <c r="S29" s="5" t="n">
        <f aca="false">-(Plan_Supuestos!$B$9+Plan_Supuestos!$B$10*S15)</f>
        <v>-31274.5668150108</v>
      </c>
      <c r="T29" s="5" t="n">
        <f aca="false">-(Plan_Supuestos!$B$9+Plan_Supuestos!$B$10*T15)</f>
        <v>-33336.6091954726</v>
      </c>
      <c r="U29" s="5" t="n">
        <f aca="false">-(Plan_Supuestos!$B$9+Plan_Supuestos!$B$10*U15)</f>
        <v>-35660.2590056771</v>
      </c>
      <c r="V29" s="5" t="n">
        <f aca="false">-(Plan_Supuestos!$B$9+Plan_Supuestos!$B$10*V15)</f>
        <v>-38278.7681587445</v>
      </c>
      <c r="W29" s="5" t="n">
        <f aca="false">-(Plan_Supuestos!$B$9+Plan_Supuestos!$B$10*W15)</f>
        <v>-41229.6268957436</v>
      </c>
      <c r="X29" s="5" t="n">
        <f aca="false">-(Plan_Supuestos!$B$9+Plan_Supuestos!$B$10*X15)</f>
        <v>-44555.1063313967</v>
      </c>
      <c r="Y29" s="5" t="n">
        <f aca="false">-(Plan_Supuestos!$B$9+Plan_Supuestos!$B$10*Y15)</f>
        <v>-48302.8709272718</v>
      </c>
    </row>
    <row r="30" customFormat="false" ht="15" hidden="false" customHeight="false" outlineLevel="0" collapsed="false">
      <c r="A30" s="4" t="s">
        <v>152</v>
      </c>
      <c r="B30" s="5" t="n">
        <f aca="false">B28+B29</f>
        <v>15851.9465923512</v>
      </c>
      <c r="C30" s="5" t="n">
        <f aca="false">C28+C29</f>
        <v>22026.5433370791</v>
      </c>
      <c r="D30" s="5" t="n">
        <f aca="false">D28+D29</f>
        <v>29412.7900333185</v>
      </c>
      <c r="E30" s="5" t="n">
        <f aca="false">E28+E29</f>
        <v>38241.0852978257</v>
      </c>
      <c r="F30" s="5" t="n">
        <f aca="false">F28+F29</f>
        <v>48784.9447486064</v>
      </c>
      <c r="G30" s="5" t="n">
        <f aca="false">G28+G29</f>
        <v>61369.0340586694</v>
      </c>
      <c r="H30" s="5" t="n">
        <f aca="false">H28+H29</f>
        <v>74800.4337976196</v>
      </c>
      <c r="I30" s="5" t="n">
        <f aca="false">I28+I29</f>
        <v>90577.2690745945</v>
      </c>
      <c r="J30" s="5" t="n">
        <f aca="false">J28+J29</f>
        <v>109106.289555179</v>
      </c>
      <c r="K30" s="5" t="n">
        <f aca="false">K28+K29</f>
        <v>130865.070784424</v>
      </c>
      <c r="L30" s="5" t="n">
        <f aca="false">L28+L29</f>
        <v>156414.514228647</v>
      </c>
      <c r="M30" s="5" t="n">
        <f aca="false">M28+M29</f>
        <v>186413.603641063</v>
      </c>
      <c r="N30" s="5" t="n">
        <f aca="false">N28+N29</f>
        <v>218168.522559935</v>
      </c>
      <c r="O30" s="5" t="n">
        <f aca="false">O28+O29</f>
        <v>252321.508451434</v>
      </c>
      <c r="P30" s="5" t="n">
        <f aca="false">P28+P29</f>
        <v>291604.578647359</v>
      </c>
      <c r="Q30" s="5" t="n">
        <f aca="false">Q28+Q29</f>
        <v>336812.543623144</v>
      </c>
      <c r="R30" s="5" t="n">
        <f aca="false">R28+R29</f>
        <v>388868.083190942</v>
      </c>
      <c r="S30" s="5" t="n">
        <f aca="false">S28+S29</f>
        <v>445152.236913347</v>
      </c>
      <c r="T30" s="5" t="n">
        <f aca="false">T28+T29</f>
        <v>501016.766096514</v>
      </c>
      <c r="U30" s="5" t="n">
        <f aca="false">U28+U29</f>
        <v>563602.974327049</v>
      </c>
      <c r="V30" s="5" t="n">
        <f aca="false">V28+V29</f>
        <v>633710.365273103</v>
      </c>
      <c r="W30" s="5" t="n">
        <f aca="false">W28+W29</f>
        <v>712232.122499761</v>
      </c>
      <c r="X30" s="5" t="n">
        <f aca="false">X28+X29</f>
        <v>800165.869866316</v>
      </c>
      <c r="Y30" s="5" t="n">
        <f aca="false">Y28+Y29</f>
        <v>898625.635102676</v>
      </c>
    </row>
    <row r="31" customFormat="false" ht="15" hidden="false" customHeight="false" outlineLevel="0" collapsed="false">
      <c r="A31" s="4" t="s">
        <v>153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154</v>
      </c>
      <c r="B32" s="9" t="n">
        <f aca="false">B30+B31</f>
        <v>15851.9465923512</v>
      </c>
      <c r="C32" s="9" t="n">
        <f aca="false">C30+C31</f>
        <v>22026.5433370791</v>
      </c>
      <c r="D32" s="9" t="n">
        <f aca="false">D30+D31</f>
        <v>29412.7900333185</v>
      </c>
      <c r="E32" s="9" t="n">
        <f aca="false">E30+E31</f>
        <v>38241.0852978257</v>
      </c>
      <c r="F32" s="9" t="n">
        <f aca="false">F30+F31</f>
        <v>48784.9447486064</v>
      </c>
      <c r="G32" s="9" t="n">
        <f aca="false">G30+G31</f>
        <v>61369.0340586694</v>
      </c>
      <c r="H32" s="9" t="n">
        <f aca="false">H30+H31</f>
        <v>74800.4337976196</v>
      </c>
      <c r="I32" s="9" t="n">
        <f aca="false">I30+I31</f>
        <v>90577.2690745945</v>
      </c>
      <c r="J32" s="9" t="n">
        <f aca="false">J30+J31</f>
        <v>109106.289555179</v>
      </c>
      <c r="K32" s="9" t="n">
        <f aca="false">K30+K31</f>
        <v>130865.070784424</v>
      </c>
      <c r="L32" s="9" t="n">
        <f aca="false">L30+L31</f>
        <v>156414.514228647</v>
      </c>
      <c r="M32" s="9" t="n">
        <f aca="false">M30+M31</f>
        <v>186413.603641063</v>
      </c>
      <c r="N32" s="9" t="n">
        <f aca="false">N30+N31</f>
        <v>218168.522559935</v>
      </c>
      <c r="O32" s="9" t="n">
        <f aca="false">O30+O31</f>
        <v>252321.508451434</v>
      </c>
      <c r="P32" s="9" t="n">
        <f aca="false">P30+P31</f>
        <v>291604.578647359</v>
      </c>
      <c r="Q32" s="9" t="n">
        <f aca="false">Q30+Q31</f>
        <v>336812.543623144</v>
      </c>
      <c r="R32" s="9" t="n">
        <f aca="false">R30+R31</f>
        <v>388868.083190942</v>
      </c>
      <c r="S32" s="9" t="n">
        <f aca="false">S30+S31</f>
        <v>445152.236913347</v>
      </c>
      <c r="T32" s="9" t="n">
        <f aca="false">T30+T31</f>
        <v>501016.766096514</v>
      </c>
      <c r="U32" s="9" t="n">
        <f aca="false">U30+U31</f>
        <v>563602.974327049</v>
      </c>
      <c r="V32" s="9" t="n">
        <f aca="false">V30+V31</f>
        <v>633710.365273103</v>
      </c>
      <c r="W32" s="9" t="n">
        <f aca="false">W30+W31</f>
        <v>712232.122499761</v>
      </c>
      <c r="X32" s="9" t="n">
        <f aca="false">X30+X31</f>
        <v>800165.869866316</v>
      </c>
      <c r="Y32" s="9" t="n">
        <f aca="false">Y30+Y31</f>
        <v>898625.635102676</v>
      </c>
    </row>
    <row r="33" customFormat="false" ht="15" hidden="false" customHeight="false" outlineLevel="0" collapsed="false">
      <c r="A33" s="4" t="s">
        <v>155</v>
      </c>
      <c r="B33" s="5" t="n">
        <f aca="false">B32</f>
        <v>15851.9465923512</v>
      </c>
      <c r="C33" s="5" t="n">
        <f aca="false">B33+C32</f>
        <v>37878.4899294304</v>
      </c>
      <c r="D33" s="5" t="n">
        <f aca="false">C33+D32</f>
        <v>67291.2799627488</v>
      </c>
      <c r="E33" s="5" t="n">
        <f aca="false">D33+E32</f>
        <v>105532.365260575</v>
      </c>
      <c r="F33" s="5" t="n">
        <f aca="false">E33+F32</f>
        <v>154317.310009181</v>
      </c>
      <c r="G33" s="5" t="n">
        <f aca="false">F33+G32</f>
        <v>215686.34406785</v>
      </c>
      <c r="H33" s="5" t="n">
        <f aca="false">G33+H32</f>
        <v>290486.77786547</v>
      </c>
      <c r="I33" s="5" t="n">
        <f aca="false">H33+I32</f>
        <v>381064.046940064</v>
      </c>
      <c r="J33" s="5" t="n">
        <f aca="false">I33+J32</f>
        <v>490170.336495244</v>
      </c>
      <c r="K33" s="5" t="n">
        <f aca="false">J33+K32</f>
        <v>621035.407279668</v>
      </c>
      <c r="L33" s="5" t="n">
        <f aca="false">K33+L32</f>
        <v>777449.921508314</v>
      </c>
      <c r="M33" s="5" t="n">
        <f aca="false">L33+M32</f>
        <v>963863.525149377</v>
      </c>
      <c r="N33" s="5" t="n">
        <f aca="false">M33+N32</f>
        <v>1182032.04770931</v>
      </c>
      <c r="O33" s="5" t="n">
        <f aca="false">N33+O32</f>
        <v>1434353.55616075</v>
      </c>
      <c r="P33" s="5" t="n">
        <f aca="false">O33+P32</f>
        <v>1725958.13480811</v>
      </c>
      <c r="Q33" s="5" t="n">
        <f aca="false">P33+Q32</f>
        <v>2062770.67843125</v>
      </c>
      <c r="R33" s="5" t="n">
        <f aca="false">Q33+R32</f>
        <v>2451638.76162219</v>
      </c>
      <c r="S33" s="5" t="n">
        <f aca="false">R33+S32</f>
        <v>2896790.99853554</v>
      </c>
      <c r="T33" s="5" t="n">
        <f aca="false">S33+T32</f>
        <v>3397807.76463205</v>
      </c>
      <c r="U33" s="5" t="n">
        <f aca="false">T33+U32</f>
        <v>3961410.7389591</v>
      </c>
      <c r="V33" s="5" t="n">
        <f aca="false">U33+V32</f>
        <v>4595121.10423221</v>
      </c>
      <c r="W33" s="5" t="n">
        <f aca="false">V33+W32</f>
        <v>5307353.22673197</v>
      </c>
      <c r="X33" s="5" t="n">
        <f aca="false">W33+X32</f>
        <v>6107519.09659828</v>
      </c>
      <c r="Y33" s="5" t="n">
        <f aca="false">X33+Y32</f>
        <v>7006144.73170096</v>
      </c>
    </row>
    <row r="34" customFormat="false" ht="15" hidden="false" customHeight="false" outlineLevel="0" collapsed="false">
      <c r="A34" s="4" t="s">
        <v>156</v>
      </c>
      <c r="M34" s="5" t="n">
        <f aca="false">SUM(B32:M32)</f>
        <v>963863.525149377</v>
      </c>
      <c r="N34" s="5" t="n">
        <f aca="false">SUM(C32:N32)</f>
        <v>1166180.10111696</v>
      </c>
      <c r="O34" s="5" t="n">
        <f aca="false">SUM(D32:O32)</f>
        <v>1396475.06623132</v>
      </c>
      <c r="P34" s="5" t="n">
        <f aca="false">SUM(E32:P32)</f>
        <v>1658666.85484536</v>
      </c>
      <c r="Q34" s="5" t="n">
        <f aca="false">SUM(F32:Q32)</f>
        <v>1957238.31317068</v>
      </c>
      <c r="R34" s="5" t="n">
        <f aca="false">SUM(G32:R32)</f>
        <v>2297321.45161301</v>
      </c>
      <c r="S34" s="5" t="n">
        <f aca="false">SUM(H32:S32)</f>
        <v>2681104.65446769</v>
      </c>
      <c r="T34" s="5" t="n">
        <f aca="false">SUM(I32:T32)</f>
        <v>3107320.98676658</v>
      </c>
      <c r="U34" s="5" t="n">
        <f aca="false">SUM(J32:U32)</f>
        <v>3580346.69201904</v>
      </c>
      <c r="V34" s="5" t="n">
        <f aca="false">SUM(K32:V32)</f>
        <v>4104950.76773696</v>
      </c>
      <c r="W34" s="5" t="n">
        <f aca="false">SUM(L32:W32)</f>
        <v>4686317.8194523</v>
      </c>
      <c r="X34" s="5" t="n">
        <f aca="false">SUM(M32:X32)</f>
        <v>5330069.17508997</v>
      </c>
      <c r="Y34" s="5" t="n">
        <f aca="false">SUM(N32:Y32)</f>
        <v>6042281.20655158</v>
      </c>
    </row>
    <row r="35" customFormat="false" ht="15" hidden="false" customHeight="false" outlineLevel="0" collapsed="false">
      <c r="A35" s="4" t="s">
        <v>157</v>
      </c>
      <c r="B35" s="5" t="n">
        <f aca="false">B32*12</f>
        <v>190223.359108215</v>
      </c>
      <c r="C35" s="5" t="n">
        <f aca="false">C32*12</f>
        <v>264318.52004495</v>
      </c>
      <c r="D35" s="5" t="n">
        <f aca="false">D32*12</f>
        <v>352953.480399822</v>
      </c>
      <c r="E35" s="5" t="n">
        <f aca="false">E32*12</f>
        <v>458893.023573909</v>
      </c>
      <c r="F35" s="5" t="n">
        <f aca="false">F32*12</f>
        <v>585419.336983277</v>
      </c>
      <c r="G35" s="5" t="n">
        <f aca="false">G32*12</f>
        <v>736428.408704032</v>
      </c>
      <c r="H35" s="5" t="n">
        <f aca="false">H32*12</f>
        <v>897605.205571436</v>
      </c>
      <c r="I35" s="5" t="n">
        <f aca="false">I32*12</f>
        <v>1086927.22889513</v>
      </c>
      <c r="J35" s="5" t="n">
        <f aca="false">J32*12</f>
        <v>1309275.47466215</v>
      </c>
      <c r="K35" s="5" t="n">
        <f aca="false">K32*12</f>
        <v>1570380.84941309</v>
      </c>
      <c r="L35" s="5" t="n">
        <f aca="false">L32*12</f>
        <v>1876974.17074376</v>
      </c>
      <c r="M35" s="5" t="n">
        <f aca="false">M32*12</f>
        <v>2236963.24369275</v>
      </c>
      <c r="N35" s="5" t="n">
        <f aca="false">N32*12</f>
        <v>2618022.27071922</v>
      </c>
      <c r="O35" s="5" t="n">
        <f aca="false">O32*12</f>
        <v>3027858.10141721</v>
      </c>
      <c r="P35" s="5" t="n">
        <f aca="false">P32*12</f>
        <v>3499254.94376831</v>
      </c>
      <c r="Q35" s="5" t="n">
        <f aca="false">Q32*12</f>
        <v>4041750.52347773</v>
      </c>
      <c r="R35" s="5" t="n">
        <f aca="false">R32*12</f>
        <v>4666416.99829131</v>
      </c>
      <c r="S35" s="5" t="n">
        <f aca="false">S32*12</f>
        <v>5341826.84296016</v>
      </c>
      <c r="T35" s="5" t="n">
        <f aca="false">T32*12</f>
        <v>6012201.19315817</v>
      </c>
      <c r="U35" s="5" t="n">
        <f aca="false">U32*12</f>
        <v>6763235.69192459</v>
      </c>
      <c r="V35" s="5" t="n">
        <f aca="false">V32*12</f>
        <v>7604524.38327723</v>
      </c>
      <c r="W35" s="5" t="n">
        <f aca="false">W32*12</f>
        <v>8546785.46999713</v>
      </c>
      <c r="X35" s="5" t="n">
        <f aca="false">X32*12</f>
        <v>9601990.43839579</v>
      </c>
      <c r="Y35" s="5" t="n">
        <f aca="false">Y32*12</f>
        <v>10783507.6212321</v>
      </c>
    </row>
    <row r="36" customFormat="false" ht="15" hidden="false" customHeight="false" outlineLevel="0" collapsed="false">
      <c r="A36" s="8" t="s">
        <v>158</v>
      </c>
      <c r="B36" s="18" t="n">
        <f aca="false">B35/Plan_Supuestos!$B$13</f>
        <v>54349.5311737756</v>
      </c>
      <c r="C36" s="18" t="n">
        <f aca="false">C35/Plan_Supuestos!$B$13</f>
        <v>75519.5771556999</v>
      </c>
      <c r="D36" s="18" t="n">
        <f aca="false">D35/Plan_Supuestos!$B$13</f>
        <v>100843.851542806</v>
      </c>
      <c r="E36" s="18" t="n">
        <f aca="false">E35/Plan_Supuestos!$B$13</f>
        <v>131112.292449688</v>
      </c>
      <c r="F36" s="18" t="n">
        <f aca="false">F35/Plan_Supuestos!$B$13</f>
        <v>167262.667709508</v>
      </c>
      <c r="G36" s="18" t="n">
        <f aca="false">G35/Plan_Supuestos!$B$13</f>
        <v>210408.116772581</v>
      </c>
      <c r="H36" s="18" t="n">
        <f aca="false">H35/Plan_Supuestos!$B$13</f>
        <v>256458.630163267</v>
      </c>
      <c r="I36" s="18" t="n">
        <f aca="false">I35/Plan_Supuestos!$B$13</f>
        <v>310550.636827181</v>
      </c>
      <c r="J36" s="18" t="n">
        <f aca="false">J35/Plan_Supuestos!$B$13</f>
        <v>374078.707046328</v>
      </c>
      <c r="K36" s="18" t="n">
        <f aca="false">K35/Plan_Supuestos!$B$13</f>
        <v>448680.242689455</v>
      </c>
      <c r="L36" s="18" t="n">
        <f aca="false">L35/Plan_Supuestos!$B$13</f>
        <v>536278.334498217</v>
      </c>
      <c r="M36" s="18" t="n">
        <f aca="false">M35/Plan_Supuestos!$B$13</f>
        <v>639132.355340786</v>
      </c>
      <c r="N36" s="18" t="n">
        <f aca="false">N35/Plan_Supuestos!$B$13</f>
        <v>748006.363062634</v>
      </c>
      <c r="O36" s="18" t="n">
        <f aca="false">O35/Plan_Supuestos!$B$13</f>
        <v>865102.314690631</v>
      </c>
      <c r="P36" s="18" t="n">
        <f aca="false">P35/Plan_Supuestos!$B$13</f>
        <v>999787.126790947</v>
      </c>
      <c r="Q36" s="18" t="n">
        <f aca="false">Q35/Plan_Supuestos!$B$13</f>
        <v>1154785.86385078</v>
      </c>
      <c r="R36" s="18" t="n">
        <f aca="false">R35/Plan_Supuestos!$B$13</f>
        <v>1333261.9995118</v>
      </c>
      <c r="S36" s="18" t="n">
        <f aca="false">S35/Plan_Supuestos!$B$13</f>
        <v>1526236.24084576</v>
      </c>
      <c r="T36" s="18" t="n">
        <f aca="false">T35/Plan_Supuestos!$B$13</f>
        <v>1717771.76947376</v>
      </c>
      <c r="U36" s="18" t="n">
        <f aca="false">U35/Plan_Supuestos!$B$13</f>
        <v>1932353.0548356</v>
      </c>
      <c r="V36" s="18" t="n">
        <f aca="false">V35/Plan_Supuestos!$B$13</f>
        <v>2172721.25236492</v>
      </c>
      <c r="W36" s="18" t="n">
        <f aca="false">W35/Plan_Supuestos!$B$13</f>
        <v>2441938.70571347</v>
      </c>
      <c r="X36" s="18" t="n">
        <f aca="false">X35/Plan_Supuestos!$B$13</f>
        <v>2743425.83954165</v>
      </c>
      <c r="Y36" s="18" t="n">
        <f aca="false">Y35/Plan_Supuestos!$B$13</f>
        <v>3081002.17749489</v>
      </c>
    </row>
    <row r="37" customFormat="false" ht="15" hidden="false" customHeight="false" outlineLevel="0" collapsed="false">
      <c r="A37" s="4" t="s">
        <v>159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1</v>
      </c>
      <c r="R37" s="5" t="n">
        <f aca="false">IF(R36&gt;=Plan_Supuestos!$B$14,1,0)</f>
        <v>1</v>
      </c>
      <c r="S37" s="5" t="n">
        <f aca="false">IF(S36&gt;=Plan_Supuestos!$B$14,1,0)</f>
        <v>1</v>
      </c>
      <c r="T37" s="5" t="n">
        <f aca="false">IF(T36&gt;=Plan_Supuestos!$B$14,1,0)</f>
        <v>1</v>
      </c>
      <c r="U37" s="5" t="n">
        <f aca="false">IF(U36&gt;=Plan_Supuestos!$B$14,1,0)</f>
        <v>1</v>
      </c>
      <c r="V37" s="5" t="n">
        <f aca="false">IF(V36&gt;=Plan_Supuestos!$B$14,1,0)</f>
        <v>1</v>
      </c>
      <c r="W37" s="5" t="n">
        <f aca="false">IF(W36&gt;=Plan_Supuestos!$B$14,1,0)</f>
        <v>1</v>
      </c>
      <c r="X37" s="5" t="n">
        <f aca="false">IF(X36&gt;=Plan_Supuestos!$B$14,1,0)</f>
        <v>1</v>
      </c>
      <c r="Y37" s="5" t="n">
        <f aca="false">IF(Y36&gt;=Plan_Supuestos!$B$14,1,0)</f>
        <v>1</v>
      </c>
    </row>
    <row r="38" customFormat="false" ht="15" hidden="false" customHeight="false" outlineLevel="0" collapsed="false">
      <c r="A38" s="4" t="s">
        <v>160</v>
      </c>
      <c r="B38" s="5" t="n">
        <f aca="false">B12*(Plan_Supuestos!$B$8*Supuestos!$B$7+(1-Plan_Supuestos!$B$8)*Supuestos!$B$8)*SUMPRODUCT(B17:B22,Plan_Supuestos!$F$30:$F$35)+B14*Plan_Supuestos!$F$36</f>
        <v>4410.56968390713</v>
      </c>
      <c r="C38" s="5" t="n">
        <f aca="false">C12*(Plan_Supuestos!$B$8*Supuestos!$B$7+(1-Plan_Supuestos!$B$8)*Supuestos!$B$8)*SUMPRODUCT(C17:C22,Plan_Supuestos!$F$30:$F$35)+C14*Plan_Supuestos!$F$36</f>
        <v>5903.5799882518</v>
      </c>
      <c r="D38" s="5" t="n">
        <f aca="false">D12*(Plan_Supuestos!$B$8*Supuestos!$B$7+(1-Plan_Supuestos!$B$8)*Supuestos!$B$8)*SUMPRODUCT(D17:D22,Plan_Supuestos!$F$30:$F$35)+D14*Plan_Supuestos!$F$36</f>
        <v>7735.20506081121</v>
      </c>
      <c r="E38" s="5" t="n">
        <f aca="false">E12*(Plan_Supuestos!$B$8*Supuestos!$B$7+(1-Plan_Supuestos!$B$8)*Supuestos!$B$8)*SUMPRODUCT(E17:E22,Plan_Supuestos!$F$30:$F$35)+E14*Plan_Supuestos!$F$36</f>
        <v>9972.94269635561</v>
      </c>
      <c r="F38" s="5" t="n">
        <f aca="false">F12*(Plan_Supuestos!$B$8*Supuestos!$B$7+(1-Plan_Supuestos!$B$8)*Supuestos!$B$8)*SUMPRODUCT(F17:F22,Plan_Supuestos!$F$30:$F$35)+F14*Plan_Supuestos!$F$36</f>
        <v>12697.0080697011</v>
      </c>
      <c r="G38" s="5" t="n">
        <f aca="false">G12*(Plan_Supuestos!$B$8*Supuestos!$B$7+(1-Plan_Supuestos!$B$8)*Supuestos!$B$8)*SUMPRODUCT(G17:G22,Plan_Supuestos!$F$30:$F$35)+G14*Plan_Supuestos!$F$36</f>
        <v>16002.6740085128</v>
      </c>
      <c r="H38" s="5" t="n">
        <f aca="false">H12*(Plan_Supuestos!$B$8*Supuestos!$B$7+(1-Plan_Supuestos!$B$8)*Supuestos!$B$8)*SUMPRODUCT(H17:H22,Plan_Supuestos!$F$30:$F$35)+H14*Plan_Supuestos!$F$36</f>
        <v>20003.0402256762</v>
      </c>
      <c r="I38" s="5" t="n">
        <f aca="false">I12*(Plan_Supuestos!$B$8*Supuestos!$B$7+(1-Plan_Supuestos!$B$8)*Supuestos!$B$8)*SUMPRODUCT(I17:I22,Plan_Supuestos!$F$30:$F$35)+I14*Plan_Supuestos!$F$36</f>
        <v>24832.3109693804</v>
      </c>
      <c r="J38" s="5" t="n">
        <f aca="false">J12*(Plan_Supuestos!$B$8*Supuestos!$B$7+(1-Plan_Supuestos!$B$8)*Supuestos!$B$8)*SUMPRODUCT(J17:J22,Plan_Supuestos!$F$30:$F$35)+J14*Plan_Supuestos!$F$36</f>
        <v>30649.6756096202</v>
      </c>
      <c r="K38" s="5" t="n">
        <f aca="false">K12*(Plan_Supuestos!$B$8*Supuestos!$B$7+(1-Plan_Supuestos!$B$8)*Supuestos!$B$8)*SUMPRODUCT(K17:K22,Plan_Supuestos!$F$30:$F$35)+K14*Plan_Supuestos!$F$36</f>
        <v>37643.9046957145</v>
      </c>
      <c r="L38" s="5" t="n">
        <f aca="false">L12*(Plan_Supuestos!$B$8*Supuestos!$B$7+(1-Plan_Supuestos!$B$8)*Supuestos!$B$8)*SUMPRODUCT(L17:L22,Plan_Supuestos!$F$30:$F$35)+L14*Plan_Supuestos!$F$36</f>
        <v>46038.795597863</v>
      </c>
      <c r="M38" s="5" t="n">
        <f aca="false">M12*(Plan_Supuestos!$B$8*Supuestos!$B$7+(1-Plan_Supuestos!$B$8)*Supuestos!$B$8)*SUMPRODUCT(M17:M22,Plan_Supuestos!$F$30:$F$35)+M14*Plan_Supuestos!$F$36</f>
        <v>56099.6277259511</v>
      </c>
      <c r="N38" s="5" t="n">
        <f aca="false">N12*(Plan_Supuestos!$B$8*Supuestos!$B$7+(1-Plan_Supuestos!$B$8)*Supuestos!$B$8)*SUMPRODUCT(N17:N22,Plan_Supuestos!$F$30:$F$35)+N14*Plan_Supuestos!$F$36</f>
        <v>64280.4486018581</v>
      </c>
      <c r="O38" s="5" t="n">
        <f aca="false">O12*(Plan_Supuestos!$B$8*Supuestos!$B$7+(1-Plan_Supuestos!$B$8)*Supuestos!$B$8)*SUMPRODUCT(O17:O22,Plan_Supuestos!$F$30:$F$35)+O14*Plan_Supuestos!$F$36</f>
        <v>73738.0792759092</v>
      </c>
      <c r="P38" s="5" t="n">
        <f aca="false">P12*(Plan_Supuestos!$B$8*Supuestos!$B$7+(1-Plan_Supuestos!$B$8)*Supuestos!$B$8)*SUMPRODUCT(P17:P22,Plan_Supuestos!$F$30:$F$35)+P14*Plan_Supuestos!$F$36</f>
        <v>84616.608641608</v>
      </c>
      <c r="Q38" s="5" t="n">
        <f aca="false">Q12*(Plan_Supuestos!$B$8*Supuestos!$B$7+(1-Plan_Supuestos!$B$8)*Supuestos!$B$8)*SUMPRODUCT(Q17:Q22,Plan_Supuestos!$F$30:$F$35)+Q14*Plan_Supuestos!$F$36</f>
        <v>97135.072127371</v>
      </c>
      <c r="R38" s="5" t="n">
        <f aca="false">R12*(Plan_Supuestos!$B$8*Supuestos!$B$7+(1-Plan_Supuestos!$B$8)*Supuestos!$B$8)*SUMPRODUCT(R17:R22,Plan_Supuestos!$F$30:$F$35)+R14*Plan_Supuestos!$F$36</f>
        <v>111547.36116959</v>
      </c>
      <c r="S38" s="5" t="n">
        <f aca="false">S12*(Plan_Supuestos!$B$8*Supuestos!$B$7+(1-Plan_Supuestos!$B$8)*Supuestos!$B$8)*SUMPRODUCT(S17:S22,Plan_Supuestos!$F$30:$F$35)+S14*Plan_Supuestos!$F$36</f>
        <v>127292.640565161</v>
      </c>
      <c r="T38" s="5" t="n">
        <f aca="false">T12*(Plan_Supuestos!$B$8*Supuestos!$B$7+(1-Plan_Supuestos!$B$8)*Supuestos!$B$8)*SUMPRODUCT(T17:T22,Plan_Supuestos!$F$30:$F$35)+T14*Plan_Supuestos!$F$36</f>
        <v>143346.71782543</v>
      </c>
      <c r="U38" s="5" t="n">
        <f aca="false">U12*(Plan_Supuestos!$B$8*Supuestos!$B$7+(1-Plan_Supuestos!$B$8)*Supuestos!$B$8)*SUMPRODUCT(U17:U22,Plan_Supuestos!$F$30:$F$35)+U14*Plan_Supuestos!$F$36</f>
        <v>161425.417867317</v>
      </c>
      <c r="V38" s="5" t="n">
        <f aca="false">V12*(Plan_Supuestos!$B$8*Supuestos!$B$7+(1-Plan_Supuestos!$B$8)*Supuestos!$B$8)*SUMPRODUCT(V17:V22,Plan_Supuestos!$F$30:$F$35)+V14*Plan_Supuestos!$F$36</f>
        <v>181784.051360779</v>
      </c>
      <c r="W38" s="5" t="n">
        <f aca="false">W12*(Plan_Supuestos!$B$8*Supuestos!$B$7+(1-Plan_Supuestos!$B$8)*Supuestos!$B$8)*SUMPRODUCT(W17:W22,Plan_Supuestos!$F$30:$F$35)+W14*Plan_Supuestos!$F$36</f>
        <v>204710.120581589</v>
      </c>
      <c r="X38" s="5" t="n">
        <f aca="false">X12*(Plan_Supuestos!$B$8*Supuestos!$B$7+(1-Plan_Supuestos!$B$8)*Supuestos!$B$8)*SUMPRODUCT(X17:X22,Plan_Supuestos!$F$30:$F$35)+X14*Plan_Supuestos!$F$36</f>
        <v>230527.377635965</v>
      </c>
      <c r="Y38" s="5" t="n">
        <f aca="false">Y12*(Plan_Supuestos!$B$8*Supuestos!$B$7+(1-Plan_Supuestos!$B$8)*Supuestos!$B$8)*SUMPRODUCT(Y17:Y22,Plan_Supuestos!$F$30:$F$35)+Y14*Plan_Supuestos!$F$36</f>
        <v>259600.394129254</v>
      </c>
    </row>
    <row r="39" customFormat="false" ht="15" hidden="false" customHeight="false" outlineLevel="0" collapsed="false">
      <c r="A39" s="4" t="s">
        <v>161</v>
      </c>
      <c r="B39" s="5" t="n">
        <f aca="false">B38*Plan_Supuestos!$B$11</f>
        <v>22052.8484195357</v>
      </c>
      <c r="C39" s="5" t="n">
        <f aca="false">C38*Plan_Supuestos!$B$11</f>
        <v>29517.899941259</v>
      </c>
      <c r="D39" s="5" t="n">
        <f aca="false">D38*Plan_Supuestos!$B$11</f>
        <v>38676.0253040561</v>
      </c>
      <c r="E39" s="5" t="n">
        <f aca="false">E38*Plan_Supuestos!$B$11</f>
        <v>49864.713481778</v>
      </c>
      <c r="F39" s="5" t="n">
        <f aca="false">F38*Plan_Supuestos!$B$11</f>
        <v>63485.0403485054</v>
      </c>
      <c r="G39" s="5" t="n">
        <f aca="false">G38*Plan_Supuestos!$B$11</f>
        <v>80013.3700425639</v>
      </c>
      <c r="H39" s="5" t="n">
        <f aca="false">H38*Plan_Supuestos!$B$11</f>
        <v>100015.201128381</v>
      </c>
      <c r="I39" s="5" t="n">
        <f aca="false">I38*Plan_Supuestos!$B$11</f>
        <v>124161.554846902</v>
      </c>
      <c r="J39" s="5" t="n">
        <f aca="false">J38*Plan_Supuestos!$B$11</f>
        <v>153248.378048101</v>
      </c>
      <c r="K39" s="5" t="n">
        <f aca="false">K38*Plan_Supuestos!$B$11</f>
        <v>188219.523478572</v>
      </c>
      <c r="L39" s="5" t="n">
        <f aca="false">L38*Plan_Supuestos!$B$11</f>
        <v>230193.977989315</v>
      </c>
      <c r="M39" s="5" t="n">
        <f aca="false">M38*Plan_Supuestos!$B$11</f>
        <v>280498.138629756</v>
      </c>
      <c r="N39" s="5" t="n">
        <f aca="false">N38*Plan_Supuestos!$B$11</f>
        <v>321402.243009291</v>
      </c>
      <c r="O39" s="5" t="n">
        <f aca="false">O38*Plan_Supuestos!$B$11</f>
        <v>368690.396379546</v>
      </c>
      <c r="P39" s="5" t="n">
        <f aca="false">P38*Plan_Supuestos!$B$11</f>
        <v>423083.04320804</v>
      </c>
      <c r="Q39" s="5" t="n">
        <f aca="false">Q38*Plan_Supuestos!$B$11</f>
        <v>485675.360636855</v>
      </c>
      <c r="R39" s="5" t="n">
        <f aca="false">R38*Plan_Supuestos!$B$11</f>
        <v>557736.805847952</v>
      </c>
      <c r="S39" s="5" t="n">
        <f aca="false">S38*Plan_Supuestos!$B$11</f>
        <v>636463.202825807</v>
      </c>
      <c r="T39" s="5" t="n">
        <f aca="false">T38*Plan_Supuestos!$B$11</f>
        <v>716733.589127152</v>
      </c>
      <c r="U39" s="5" t="n">
        <f aca="false">U38*Plan_Supuestos!$B$11</f>
        <v>807127.089336586</v>
      </c>
      <c r="V39" s="5" t="n">
        <f aca="false">V38*Plan_Supuestos!$B$11</f>
        <v>908920.256803893</v>
      </c>
      <c r="W39" s="5" t="n">
        <f aca="false">W38*Plan_Supuestos!$B$11</f>
        <v>1023550.60290794</v>
      </c>
      <c r="X39" s="5" t="n">
        <f aca="false">X38*Plan_Supuestos!$B$11</f>
        <v>1152636.88817983</v>
      </c>
      <c r="Y39" s="5" t="n">
        <f aca="false">Y38*Plan_Supuestos!$B$11</f>
        <v>1298001.97064627</v>
      </c>
    </row>
    <row r="40" customFormat="false" ht="15" hidden="false" customHeight="false" outlineLevel="0" collapsed="false">
      <c r="A40" s="4" t="s">
        <v>162</v>
      </c>
      <c r="B40" s="5" t="n">
        <f aca="false">0</f>
        <v>0</v>
      </c>
      <c r="C40" s="5" t="n">
        <f aca="false">C39-B39</f>
        <v>7465.05152172336</v>
      </c>
      <c r="D40" s="5" t="n">
        <f aca="false">D39-C39</f>
        <v>9158.12536279704</v>
      </c>
      <c r="E40" s="5" t="n">
        <f aca="false">E39-D39</f>
        <v>11188.688177722</v>
      </c>
      <c r="F40" s="5" t="n">
        <f aca="false">F39-E39</f>
        <v>13620.3268667274</v>
      </c>
      <c r="G40" s="5" t="n">
        <f aca="false">G39-F39</f>
        <v>16528.3296940585</v>
      </c>
      <c r="H40" s="5" t="n">
        <f aca="false">H39-G39</f>
        <v>20001.8310858169</v>
      </c>
      <c r="I40" s="5" t="n">
        <f aca="false">I39-H39</f>
        <v>24146.353718521</v>
      </c>
      <c r="J40" s="5" t="n">
        <f aca="false">J39-I39</f>
        <v>29086.8232011992</v>
      </c>
      <c r="K40" s="5" t="n">
        <f aca="false">K39-J39</f>
        <v>34971.1454304714</v>
      </c>
      <c r="L40" s="5" t="n">
        <f aca="false">L39-K39</f>
        <v>41974.4545107428</v>
      </c>
      <c r="M40" s="5" t="n">
        <f aca="false">M39-L39</f>
        <v>50304.1606404404</v>
      </c>
      <c r="N40" s="5" t="n">
        <f aca="false">N39-M39</f>
        <v>40904.104379535</v>
      </c>
      <c r="O40" s="5" t="n">
        <f aca="false">O39-N39</f>
        <v>47288.1533702554</v>
      </c>
      <c r="P40" s="5" t="n">
        <f aca="false">P39-O39</f>
        <v>54392.6468284942</v>
      </c>
      <c r="Q40" s="5" t="n">
        <f aca="false">Q39-P39</f>
        <v>62592.3174288148</v>
      </c>
      <c r="R40" s="5" t="n">
        <f aca="false">R39-Q39</f>
        <v>72061.4452110973</v>
      </c>
      <c r="S40" s="5" t="n">
        <f aca="false">S39-R39</f>
        <v>78726.3969778542</v>
      </c>
      <c r="T40" s="5" t="n">
        <f aca="false">T39-S39</f>
        <v>80270.3863013452</v>
      </c>
      <c r="U40" s="5" t="n">
        <f aca="false">U39-T39</f>
        <v>90393.5002094344</v>
      </c>
      <c r="V40" s="5" t="n">
        <f aca="false">V39-U39</f>
        <v>101793.167467306</v>
      </c>
      <c r="W40" s="5" t="n">
        <f aca="false">W39-V39</f>
        <v>114630.34610405</v>
      </c>
      <c r="X40" s="5" t="n">
        <f aca="false">X39-W39</f>
        <v>129086.285271884</v>
      </c>
      <c r="Y40" s="5" t="n">
        <f aca="false">Y39-X39</f>
        <v>145365.082466441</v>
      </c>
    </row>
    <row r="41" customFormat="false" ht="15" hidden="false" customHeight="false" outlineLevel="0" collapsed="false">
      <c r="A41" s="4" t="s">
        <v>163</v>
      </c>
      <c r="B41" s="5" t="n">
        <f aca="false">B32-B40</f>
        <v>15851.9465923512</v>
      </c>
      <c r="C41" s="5" t="n">
        <f aca="false">C32-C40</f>
        <v>14561.4918153558</v>
      </c>
      <c r="D41" s="5" t="n">
        <f aca="false">D32-D40</f>
        <v>20254.6646705214</v>
      </c>
      <c r="E41" s="5" t="n">
        <f aca="false">E32-E40</f>
        <v>27052.3971201037</v>
      </c>
      <c r="F41" s="5" t="n">
        <f aca="false">F32-F40</f>
        <v>35164.617881879</v>
      </c>
      <c r="G41" s="5" t="n">
        <f aca="false">G32-G40</f>
        <v>44840.7043646109</v>
      </c>
      <c r="H41" s="5" t="n">
        <f aca="false">H32-H40</f>
        <v>54798.6027118027</v>
      </c>
      <c r="I41" s="5" t="n">
        <f aca="false">I32-I40</f>
        <v>66430.9153560734</v>
      </c>
      <c r="J41" s="5" t="n">
        <f aca="false">J32-J40</f>
        <v>80019.4663539799</v>
      </c>
      <c r="K41" s="5" t="n">
        <f aca="false">K32-K40</f>
        <v>95893.9253539529</v>
      </c>
      <c r="L41" s="5" t="n">
        <f aca="false">L32-L40</f>
        <v>114440.059717904</v>
      </c>
      <c r="M41" s="5" t="n">
        <f aca="false">M32-M40</f>
        <v>136109.443000622</v>
      </c>
      <c r="N41" s="5" t="n">
        <f aca="false">N32-N40</f>
        <v>177264.4181804</v>
      </c>
      <c r="O41" s="5" t="n">
        <f aca="false">O32-O40</f>
        <v>205033.355081179</v>
      </c>
      <c r="P41" s="5" t="n">
        <f aca="false">P32-P40</f>
        <v>237211.931818865</v>
      </c>
      <c r="Q41" s="5" t="n">
        <f aca="false">Q32-Q40</f>
        <v>274220.226194329</v>
      </c>
      <c r="R41" s="5" t="n">
        <f aca="false">R32-R40</f>
        <v>316806.637979845</v>
      </c>
      <c r="S41" s="5" t="n">
        <f aca="false">S32-S40</f>
        <v>366425.839935493</v>
      </c>
      <c r="T41" s="5" t="n">
        <f aca="false">T32-T40</f>
        <v>420746.379795169</v>
      </c>
      <c r="U41" s="5" t="n">
        <f aca="false">U32-U40</f>
        <v>473209.474117614</v>
      </c>
      <c r="V41" s="5" t="n">
        <f aca="false">V32-V40</f>
        <v>531917.197805796</v>
      </c>
      <c r="W41" s="5" t="n">
        <f aca="false">W32-W40</f>
        <v>597601.776395711</v>
      </c>
      <c r="X41" s="5" t="n">
        <f aca="false">X32-X40</f>
        <v>671079.584594432</v>
      </c>
      <c r="Y41" s="5" t="n">
        <f aca="false">Y32-Y40</f>
        <v>753260.552636236</v>
      </c>
    </row>
    <row r="42" customFormat="false" ht="15" hidden="false" customHeight="false" outlineLevel="0" collapsed="false">
      <c r="A42" s="8" t="s">
        <v>164</v>
      </c>
      <c r="B42" s="18" t="n">
        <f aca="false">B41</f>
        <v>15851.9465923512</v>
      </c>
      <c r="C42" s="18" t="n">
        <f aca="false">B42+C41</f>
        <v>30413.438407707</v>
      </c>
      <c r="D42" s="18" t="n">
        <f aca="false">C42+D41</f>
        <v>50668.1030782284</v>
      </c>
      <c r="E42" s="18" t="n">
        <f aca="false">D42+E41</f>
        <v>77720.5001983322</v>
      </c>
      <c r="F42" s="18" t="n">
        <f aca="false">E42+F41</f>
        <v>112885.118080211</v>
      </c>
      <c r="G42" s="18" t="n">
        <f aca="false">F42+G41</f>
        <v>157725.822444822</v>
      </c>
      <c r="H42" s="18" t="n">
        <f aca="false">G42+H41</f>
        <v>212524.425156625</v>
      </c>
      <c r="I42" s="18" t="n">
        <f aca="false">H42+I41</f>
        <v>278955.340512698</v>
      </c>
      <c r="J42" s="18" t="n">
        <f aca="false">I42+J41</f>
        <v>358974.806866678</v>
      </c>
      <c r="K42" s="18" t="n">
        <f aca="false">J42+K41</f>
        <v>454868.732220631</v>
      </c>
      <c r="L42" s="18" t="n">
        <f aca="false">K42+L41</f>
        <v>569308.791938535</v>
      </c>
      <c r="M42" s="18" t="n">
        <f aca="false">L42+M41</f>
        <v>705418.234939157</v>
      </c>
      <c r="N42" s="18" t="n">
        <f aca="false">M42+N41</f>
        <v>882682.653119557</v>
      </c>
      <c r="O42" s="18" t="n">
        <f aca="false">N42+O41</f>
        <v>1087716.00820074</v>
      </c>
      <c r="P42" s="18" t="n">
        <f aca="false">O42+P41</f>
        <v>1324927.9400196</v>
      </c>
      <c r="Q42" s="18" t="n">
        <f aca="false">P42+Q41</f>
        <v>1599148.16621393</v>
      </c>
      <c r="R42" s="18" t="n">
        <f aca="false">Q42+R41</f>
        <v>1915954.80419378</v>
      </c>
      <c r="S42" s="18" t="n">
        <f aca="false">R42+S41</f>
        <v>2282380.64412927</v>
      </c>
      <c r="T42" s="18" t="n">
        <f aca="false">S42+T41</f>
        <v>2703127.02392444</v>
      </c>
      <c r="U42" s="18" t="n">
        <f aca="false">T42+U41</f>
        <v>3176336.49804205</v>
      </c>
      <c r="V42" s="18" t="n">
        <f aca="false">U42+V41</f>
        <v>3708253.69584785</v>
      </c>
      <c r="W42" s="18" t="n">
        <f aca="false">V42+W41</f>
        <v>4305855.47224356</v>
      </c>
      <c r="X42" s="18" t="n">
        <f aca="false">W42+X41</f>
        <v>4976935.05683799</v>
      </c>
      <c r="Y42" s="18" t="n">
        <f aca="false">X42+Y41</f>
        <v>5730195.60947423</v>
      </c>
    </row>
    <row r="43" customFormat="false" ht="15" hidden="false" customHeight="false" outlineLevel="0" collapsed="false">
      <c r="A43" s="4" t="s">
        <v>165</v>
      </c>
      <c r="B43" s="5" t="n">
        <f aca="false">B12*(B17+B18)</f>
        <v>186.545454545455</v>
      </c>
      <c r="C43" s="5" t="n">
        <f aca="false">C12*(C17+C18)</f>
        <v>211.030803925901</v>
      </c>
      <c r="D43" s="5" t="n">
        <f aca="false">D12*(D17+D18)</f>
        <v>238.758371964868</v>
      </c>
      <c r="E43" s="5" t="n">
        <f aca="false">E12*(E17+E18)</f>
        <v>270.162467766594</v>
      </c>
      <c r="F43" s="5" t="n">
        <f aca="false">F12*(F17+F18)</f>
        <v>305.736480533791</v>
      </c>
      <c r="G43" s="5" t="n">
        <f aca="false">G12*(G17+G18)</f>
        <v>346.041084309034</v>
      </c>
      <c r="H43" s="5" t="n">
        <f aca="false">H12*(H17+H18)</f>
        <v>391.713614372</v>
      </c>
      <c r="I43" s="5" t="n">
        <f aca="false">I12*(I17+I18)</f>
        <v>443.478788993159</v>
      </c>
      <c r="J43" s="5" t="n">
        <f aca="false">J12*(J17+J18)</f>
        <v>502.160977303749</v>
      </c>
      <c r="K43" s="5" t="n">
        <f aca="false">K12*(K17+K18)</f>
        <v>568.69824559319</v>
      </c>
      <c r="L43" s="5" t="n">
        <f aca="false">L12*(L17+L18)</f>
        <v>644.158451194677</v>
      </c>
      <c r="M43" s="5" t="n">
        <f aca="false">M12*(M17+M18)</f>
        <v>729.757696232091</v>
      </c>
      <c r="N43" s="5" t="n">
        <f aca="false">N12*(N17+N18)</f>
        <v>836.843931793247</v>
      </c>
      <c r="O43" s="5" t="n">
        <f aca="false">O12*(O17+O18)</f>
        <v>959.965460860311</v>
      </c>
      <c r="P43" s="5" t="n">
        <f aca="false">P12*(P17+P18)</f>
        <v>1101.58385188081</v>
      </c>
      <c r="Q43" s="5" t="n">
        <f aca="false">Q12*(Q17+Q18)</f>
        <v>1264.55031487067</v>
      </c>
      <c r="R43" s="5" t="n">
        <f aca="false">R12*(R17+R18)</f>
        <v>1452.16975940122</v>
      </c>
      <c r="S43" s="5" t="n">
        <f aca="false">S12*(S17+S18)</f>
        <v>1657.15404698598</v>
      </c>
      <c r="T43" s="5" t="n">
        <f aca="false">T12*(T17+T18)</f>
        <v>1866.19080847788</v>
      </c>
      <c r="U43" s="5" t="n">
        <f aca="false">U12*(U17+U18)</f>
        <v>2101.59588964078</v>
      </c>
      <c r="V43" s="5" t="n">
        <f aca="false">V12*(V17+V18)</f>
        <v>2366.69544362263</v>
      </c>
      <c r="W43" s="5" t="n">
        <f aca="false">W12*(W17+W18)</f>
        <v>2665.2351912534</v>
      </c>
      <c r="X43" s="5" t="n">
        <f aca="false">X12*(X17+X18)</f>
        <v>3001.4333461607</v>
      </c>
      <c r="Y43" s="5" t="n">
        <f aca="false">Y12*(Y17+Y18)</f>
        <v>3380.04021596641</v>
      </c>
    </row>
    <row r="44" customFormat="false" ht="15" hidden="false" customHeight="false" outlineLevel="0" collapsed="false">
      <c r="A44" s="4" t="s">
        <v>166</v>
      </c>
      <c r="B44" s="5" t="n">
        <f aca="false">B12*(B17*Plan_Supuestos!$I$30+B18*Plan_Supuestos!$I$31)+B14</f>
        <v>247.396363636364</v>
      </c>
      <c r="C44" s="5" t="n">
        <f aca="false">C12*(C17*Plan_Supuestos!$I$30+C18*Plan_Supuestos!$I$31)+C14</f>
        <v>278.735707095828</v>
      </c>
      <c r="D44" s="5" t="n">
        <f aca="false">D12*(D17*Plan_Supuestos!$I$30+D18*Plan_Supuestos!$I$31)+D14</f>
        <v>314.244479888311</v>
      </c>
      <c r="E44" s="5" t="n">
        <f aca="false">E12*(E17*Plan_Supuestos!$I$30+E18*Plan_Supuestos!$I$31)+E14</f>
        <v>354.484280738797</v>
      </c>
      <c r="F44" s="5" t="n">
        <f aca="false">F12*(F17*Plan_Supuestos!$I$30+F18*Plan_Supuestos!$I$31)+F14</f>
        <v>400.093596765686</v>
      </c>
      <c r="G44" s="5" t="n">
        <f aca="false">G12*(G17*Plan_Supuestos!$I$30+G18*Plan_Supuestos!$I$31)+G14</f>
        <v>451.798561373089</v>
      </c>
      <c r="H44" s="5" t="n">
        <f aca="false">H12*(H17*Plan_Supuestos!$I$30+H18*Plan_Supuestos!$I$31)+H14</f>
        <v>510.425261603097</v>
      </c>
      <c r="I44" s="5" t="n">
        <f aca="false">I12*(I17*Plan_Supuestos!$I$30+I18*Plan_Supuestos!$I$31)+I14</f>
        <v>576.913826870071</v>
      </c>
      <c r="J44" s="5" t="n">
        <f aca="false">J12*(J17*Plan_Supuestos!$I$30+J18*Plan_Supuestos!$I$31)+J14</f>
        <v>652.334567501945</v>
      </c>
      <c r="K44" s="5" t="n">
        <f aca="false">K12*(K17*Plan_Supuestos!$I$30+K18*Plan_Supuestos!$I$31)+K14</f>
        <v>737.906474139693</v>
      </c>
      <c r="L44" s="5" t="n">
        <f aca="false">L12*(L17*Plan_Supuestos!$I$30+L18*Plan_Supuestos!$I$31)+L14</f>
        <v>835.01843890518</v>
      </c>
      <c r="M44" s="5" t="n">
        <f aca="false">M12*(M17*Plan_Supuestos!$I$30+M18*Plan_Supuestos!$I$31)+M14</f>
        <v>945.253617669003</v>
      </c>
      <c r="N44" s="5" t="n">
        <f aca="false">N12*(N17*Plan_Supuestos!$I$30+N18*Plan_Supuestos!$I$31)+N14</f>
        <v>1104.37165151024</v>
      </c>
      <c r="O44" s="5" t="n">
        <f aca="false">O12*(O17*Plan_Supuestos!$I$30+O18*Plan_Supuestos!$I$31)+O14</f>
        <v>1266.73299558435</v>
      </c>
      <c r="P44" s="5" t="n">
        <f aca="false">P12*(P17*Plan_Supuestos!$I$30+P18*Plan_Supuestos!$I$31)+P14</f>
        <v>1453.46457638814</v>
      </c>
      <c r="Q44" s="5" t="n">
        <f aca="false">Q12*(Q17*Plan_Supuestos!$I$30+Q18*Plan_Supuestos!$I$31)+Q14</f>
        <v>1668.31893071206</v>
      </c>
      <c r="R44" s="5" t="n">
        <f aca="false">R12*(R17*Plan_Supuestos!$I$30+R18*Plan_Supuestos!$I$31)+R14</f>
        <v>1915.64494908438</v>
      </c>
      <c r="S44" s="5" t="n">
        <f aca="false">S12*(S17*Plan_Supuestos!$I$30+S18*Plan_Supuestos!$I$31)+S14</f>
        <v>2186.22663951673</v>
      </c>
      <c r="T44" s="5" t="n">
        <f aca="false">T12*(T17*Plan_Supuestos!$I$30+T18*Plan_Supuestos!$I$31)+T14</f>
        <v>2463.14364021121</v>
      </c>
      <c r="U44" s="5" t="n">
        <f aca="false">U12*(U17*Plan_Supuestos!$I$30+U18*Plan_Supuestos!$I$31)+U14</f>
        <v>2775.17866559338</v>
      </c>
      <c r="V44" s="5" t="n">
        <f aca="false">V12*(V17*Plan_Supuestos!$I$30+V18*Plan_Supuestos!$I$31)+V14</f>
        <v>3126.79310217514</v>
      </c>
      <c r="W44" s="5" t="n">
        <f aca="false">W12*(W17*Plan_Supuestos!$I$30+W18*Plan_Supuestos!$I$31)+W14</f>
        <v>3523.01658783285</v>
      </c>
      <c r="X44" s="5" t="n">
        <f aca="false">X12*(X17*Plan_Supuestos!$I$30+X18*Plan_Supuestos!$I$31)+X14</f>
        <v>3969.51968148932</v>
      </c>
      <c r="Y44" s="5" t="n">
        <f aca="false">Y12*(Y17*Plan_Supuestos!$I$30+Y18*Plan_Supuestos!$I$31)+Y14</f>
        <v>4472.6958857059</v>
      </c>
    </row>
    <row r="45" customFormat="false" ht="15" hidden="false" customHeight="false" outlineLevel="0" collapsed="false">
      <c r="A45" s="4" t="s">
        <v>167</v>
      </c>
      <c r="B45" s="5" t="n">
        <f aca="false">B12*(Plan_Supuestos!$B$43+(Plan_Supuestos!$B$44-Plan_Supuestos!$B$43)*B16)*Plan_Supuestos!$J$35</f>
        <v>15.7090909090909</v>
      </c>
      <c r="C45" s="5" t="n">
        <f aca="false">C12*(Plan_Supuestos!$B$43+(Plan_Supuestos!$B$44-Plan_Supuestos!$B$43)*C16)*Plan_Supuestos!$J$35</f>
        <v>20.4091686582109</v>
      </c>
      <c r="D45" s="5" t="n">
        <f aca="false">D12*(Plan_Supuestos!$B$43+(Plan_Supuestos!$B$44-Plan_Supuestos!$B$43)*D16)*Plan_Supuestos!$J$35</f>
        <v>26.1397240078838</v>
      </c>
      <c r="E45" s="5" t="n">
        <f aca="false">E12*(Plan_Supuestos!$B$43+(Plan_Supuestos!$B$44-Plan_Supuestos!$B$43)*E16)*Plan_Supuestos!$J$35</f>
        <v>33.102911070215</v>
      </c>
      <c r="F45" s="5" t="n">
        <f aca="false">F12*(Plan_Supuestos!$B$43+(Plan_Supuestos!$B$44-Plan_Supuestos!$B$43)*F16)*Plan_Supuestos!$J$35</f>
        <v>41.5386227298657</v>
      </c>
      <c r="G45" s="5" t="n">
        <f aca="false">G12*(Plan_Supuestos!$B$43+(Plan_Supuestos!$B$44-Plan_Supuestos!$B$43)*G16)*Plan_Supuestos!$J$35</f>
        <v>51.7313944219565</v>
      </c>
      <c r="H45" s="5" t="n">
        <f aca="false">H12*(Plan_Supuestos!$B$43+(Plan_Supuestos!$B$44-Plan_Supuestos!$B$43)*H16)*Plan_Supuestos!$J$35</f>
        <v>64.0185682324004</v>
      </c>
      <c r="I45" s="5" t="n">
        <f aca="false">I12*(Plan_Supuestos!$B$43+(Plan_Supuestos!$B$44-Plan_Supuestos!$B$43)*I16)*Plan_Supuestos!$J$35</f>
        <v>78.7999501103547</v>
      </c>
      <c r="J45" s="5" t="n">
        <f aca="false">J12*(Plan_Supuestos!$B$43+(Plan_Supuestos!$B$44-Plan_Supuestos!$B$43)*J16)*Plan_Supuestos!$J$35</f>
        <v>96.5492370155588</v>
      </c>
      <c r="K45" s="5" t="n">
        <f aca="false">K12*(Plan_Supuestos!$B$43+(Plan_Supuestos!$B$44-Plan_Supuestos!$B$43)*K16)*Plan_Supuestos!$J$35</f>
        <v>117.827543484424</v>
      </c>
      <c r="L45" s="5" t="n">
        <f aca="false">L12*(Plan_Supuestos!$B$43+(Plan_Supuestos!$B$44-Plan_Supuestos!$B$43)*L16)*Plan_Supuestos!$J$35</f>
        <v>143.299420158816</v>
      </c>
      <c r="M45" s="5" t="n">
        <f aca="false">M12*(Plan_Supuestos!$B$43+(Plan_Supuestos!$B$44-Plan_Supuestos!$B$43)*M16)*Plan_Supuestos!$J$35</f>
        <v>173.751832436212</v>
      </c>
      <c r="N45" s="5" t="n">
        <f aca="false">N12*(Plan_Supuestos!$B$43+(Plan_Supuestos!$B$44-Plan_Supuestos!$B$43)*N16)*Plan_Supuestos!$J$35</f>
        <v>199.248555188868</v>
      </c>
      <c r="O45" s="5" t="n">
        <f aca="false">O12*(Plan_Supuestos!$B$43+(Plan_Supuestos!$B$44-Plan_Supuestos!$B$43)*O16)*Plan_Supuestos!$J$35</f>
        <v>228.563204966741</v>
      </c>
      <c r="P45" s="5" t="n">
        <f aca="false">P12*(Plan_Supuestos!$B$43+(Plan_Supuestos!$B$44-Plan_Supuestos!$B$43)*P16)*Plan_Supuestos!$J$35</f>
        <v>262.281869495431</v>
      </c>
      <c r="Q45" s="5" t="n">
        <f aca="false">Q12*(Plan_Supuestos!$B$43+(Plan_Supuestos!$B$44-Plan_Supuestos!$B$43)*Q16)*Plan_Supuestos!$J$35</f>
        <v>301.083408302539</v>
      </c>
      <c r="R45" s="5" t="n">
        <f aca="false">R12*(Plan_Supuestos!$B$43+(Plan_Supuestos!$B$44-Plan_Supuestos!$B$43)*R16)*Plan_Supuestos!$J$35</f>
        <v>345.754704619339</v>
      </c>
      <c r="S45" s="5" t="n">
        <f aca="false">S12*(Plan_Supuestos!$B$43+(Plan_Supuestos!$B$44-Plan_Supuestos!$B$43)*S16)*Plan_Supuestos!$J$35</f>
        <v>394.560487377615</v>
      </c>
      <c r="T45" s="5" t="n">
        <f aca="false">T12*(Plan_Supuestos!$B$43+(Plan_Supuestos!$B$44-Plan_Supuestos!$B$43)*T16)*Plan_Supuestos!$J$35</f>
        <v>444.331144875686</v>
      </c>
      <c r="U45" s="5" t="n">
        <f aca="false">U12*(Plan_Supuestos!$B$43+(Plan_Supuestos!$B$44-Plan_Supuestos!$B$43)*U16)*Plan_Supuestos!$J$35</f>
        <v>500.379973723995</v>
      </c>
      <c r="V45" s="5" t="n">
        <f aca="false">V12*(Plan_Supuestos!$B$43+(Plan_Supuestos!$B$44-Plan_Supuestos!$B$43)*V16)*Plan_Supuestos!$J$35</f>
        <v>563.498915148245</v>
      </c>
      <c r="W45" s="5" t="n">
        <f aca="false">W12*(Plan_Supuestos!$B$43+(Plan_Supuestos!$B$44-Plan_Supuestos!$B$43)*W16)*Plan_Supuestos!$J$35</f>
        <v>634.579807441285</v>
      </c>
      <c r="X45" s="5" t="n">
        <f aca="false">X12*(Plan_Supuestos!$B$43+(Plan_Supuestos!$B$44-Plan_Supuestos!$B$43)*X16)*Plan_Supuestos!$J$35</f>
        <v>714.626987181119</v>
      </c>
      <c r="Y45" s="5" t="n">
        <f aca="false">Y12*(Plan_Supuestos!$B$43+(Plan_Supuestos!$B$44-Plan_Supuestos!$B$43)*Y16)*Plan_Supuestos!$J$35</f>
        <v>804.771479992001</v>
      </c>
    </row>
    <row r="46" customFormat="false" ht="15" hidden="false" customHeight="false" outlineLevel="0" collapsed="false">
      <c r="A46" s="4" t="s">
        <v>168</v>
      </c>
      <c r="B46" s="5" t="n">
        <f aca="false">B12*B19</f>
        <v>5.89090909090909</v>
      </c>
      <c r="C46" s="5" t="n">
        <f aca="false">C12*C19</f>
        <v>7.34730071695594</v>
      </c>
      <c r="D46" s="5" t="n">
        <f aca="false">D12*D19</f>
        <v>9.10222532417384</v>
      </c>
      <c r="E46" s="5" t="n">
        <f aca="false">E12*E19</f>
        <v>11.2122763302341</v>
      </c>
      <c r="F46" s="5" t="n">
        <f aca="false">F12*F19</f>
        <v>13.7443972267938</v>
      </c>
      <c r="G46" s="5" t="n">
        <f aca="false">G12*G19</f>
        <v>16.7777495422562</v>
      </c>
      <c r="H46" s="5" t="n">
        <f aca="false">H12*H19</f>
        <v>20.4059186240776</v>
      </c>
      <c r="I46" s="5" t="n">
        <f aca="false">I12*I19</f>
        <v>24.7395192206928</v>
      </c>
      <c r="J46" s="5" t="n">
        <f aca="false">J12*J19</f>
        <v>29.9092745102546</v>
      </c>
      <c r="K46" s="5" t="n">
        <f aca="false">K12*K19</f>
        <v>36.0696561687013</v>
      </c>
      <c r="L46" s="5" t="n">
        <f aca="false">L12*L19</f>
        <v>43.4031897596414</v>
      </c>
      <c r="M46" s="5" t="n">
        <f aca="false">M12*M19</f>
        <v>52.1255497308636</v>
      </c>
      <c r="N46" s="5" t="n">
        <f aca="false">N12*N19</f>
        <v>59.7745665566605</v>
      </c>
      <c r="O46" s="5" t="n">
        <f aca="false">O12*O19</f>
        <v>68.5689614900222</v>
      </c>
      <c r="P46" s="5" t="n">
        <f aca="false">P12*P19</f>
        <v>78.6845608486292</v>
      </c>
      <c r="Q46" s="5" t="n">
        <f aca="false">Q12*Q19</f>
        <v>90.3250224907618</v>
      </c>
      <c r="R46" s="5" t="n">
        <f aca="false">R12*R19</f>
        <v>103.726411385802</v>
      </c>
      <c r="S46" s="5" t="n">
        <f aca="false">S12*S19</f>
        <v>118.368146213284</v>
      </c>
      <c r="T46" s="5" t="n">
        <f aca="false">T12*T19</f>
        <v>133.299343462706</v>
      </c>
      <c r="U46" s="5" t="n">
        <f aca="false">U12*U19</f>
        <v>150.113992117199</v>
      </c>
      <c r="V46" s="5" t="n">
        <f aca="false">V12*V19</f>
        <v>169.049674544473</v>
      </c>
      <c r="W46" s="5" t="n">
        <f aca="false">W12*W19</f>
        <v>190.373942232386</v>
      </c>
      <c r="X46" s="5" t="n">
        <f aca="false">X12*X19</f>
        <v>214.388096154336</v>
      </c>
      <c r="Y46" s="5" t="n">
        <f aca="false">Y12*Y19</f>
        <v>241.4314439976</v>
      </c>
    </row>
    <row r="47" customFormat="false" ht="15" hidden="false" customHeight="false" outlineLevel="0" collapsed="false">
      <c r="A47" s="4" t="s">
        <v>169</v>
      </c>
      <c r="B47" s="5" t="n">
        <f aca="false">B12*B20</f>
        <v>3.92727272727273</v>
      </c>
      <c r="C47" s="5" t="n">
        <f aca="false">C12*C20</f>
        <v>4.49001710480641</v>
      </c>
      <c r="D47" s="5" t="n">
        <f aca="false">D12*D20</f>
        <v>5.13458864440575</v>
      </c>
      <c r="E47" s="5" t="n">
        <f aca="false">E12*E20</f>
        <v>5.87309712536073</v>
      </c>
      <c r="F47" s="5" t="n">
        <f aca="false">F12*F20</f>
        <v>6.71948308865474</v>
      </c>
      <c r="G47" s="5" t="n">
        <f aca="false">G12*G20</f>
        <v>7.68980187353408</v>
      </c>
      <c r="H47" s="5" t="n">
        <f aca="false">H12*H20</f>
        <v>8.80255313195506</v>
      </c>
      <c r="I47" s="5" t="n">
        <f aca="false">I12*I20</f>
        <v>10.0790633862082</v>
      </c>
      <c r="J47" s="5" t="n">
        <f aca="false">J12*J20</f>
        <v>11.5439305127299</v>
      </c>
      <c r="K47" s="5" t="n">
        <f aca="false">K12*K20</f>
        <v>13.2255405951905</v>
      </c>
      <c r="L47" s="5" t="n">
        <f aca="false">L12*L20</f>
        <v>15.1566694398748</v>
      </c>
      <c r="M47" s="5" t="n">
        <f aca="false">M12*M20</f>
        <v>17.3751832436212</v>
      </c>
      <c r="N47" s="5" t="n">
        <f aca="false">N12*N20</f>
        <v>19.9248555188868</v>
      </c>
      <c r="O47" s="5" t="n">
        <f aca="false">O12*O20</f>
        <v>22.8563204966741</v>
      </c>
      <c r="P47" s="5" t="n">
        <f aca="false">P12*P20</f>
        <v>26.2281869495431</v>
      </c>
      <c r="Q47" s="5" t="n">
        <f aca="false">Q12*Q20</f>
        <v>30.1083408302539</v>
      </c>
      <c r="R47" s="5" t="n">
        <f aca="false">R12*R20</f>
        <v>34.5754704619339</v>
      </c>
      <c r="S47" s="5" t="n">
        <f aca="false">S12*S20</f>
        <v>39.4560487377615</v>
      </c>
      <c r="T47" s="5" t="n">
        <f aca="false">T12*T20</f>
        <v>44.4331144875686</v>
      </c>
      <c r="U47" s="5" t="n">
        <f aca="false">U12*U20</f>
        <v>50.0379973723995</v>
      </c>
      <c r="V47" s="5" t="n">
        <f aca="false">V12*V20</f>
        <v>56.3498915148245</v>
      </c>
      <c r="W47" s="5" t="n">
        <f aca="false">W12*W20</f>
        <v>63.4579807441285</v>
      </c>
      <c r="X47" s="5" t="n">
        <f aca="false">X12*X20</f>
        <v>71.4626987181119</v>
      </c>
      <c r="Y47" s="5" t="n">
        <f aca="false">Y12*Y20</f>
        <v>80.4771479992001</v>
      </c>
    </row>
    <row r="48" customFormat="false" ht="15" hidden="false" customHeight="false" outlineLevel="0" collapsed="false">
      <c r="A48" s="4" t="s">
        <v>170</v>
      </c>
      <c r="B48" s="5" t="n">
        <f aca="false">B12*B21</f>
        <v>0</v>
      </c>
      <c r="C48" s="5" t="n">
        <f aca="false">C12*C21</f>
        <v>1.63273349265687</v>
      </c>
      <c r="D48" s="5" t="n">
        <f aca="false">D12*D21</f>
        <v>3.73424628684055</v>
      </c>
      <c r="E48" s="5" t="n">
        <f aca="false">E12*E21</f>
        <v>6.40701504584807</v>
      </c>
      <c r="F48" s="5" t="n">
        <f aca="false">F12*F21</f>
        <v>9.7737935834978</v>
      </c>
      <c r="G48" s="5" t="n">
        <f aca="false">G12*G21</f>
        <v>13.9814579518801</v>
      </c>
      <c r="H48" s="5" t="n">
        <f aca="false">H12*H21</f>
        <v>19.2055704697201</v>
      </c>
      <c r="I48" s="5" t="n">
        <f aca="false">I12*I21</f>
        <v>25.655797710348</v>
      </c>
      <c r="J48" s="5" t="n">
        <f aca="false">J12*J21</f>
        <v>33.5823433097596</v>
      </c>
      <c r="K48" s="5" t="n">
        <f aca="false">K12*K21</f>
        <v>43.2835874024415</v>
      </c>
      <c r="L48" s="5" t="n">
        <f aca="false">L12*L21</f>
        <v>55.1151615995446</v>
      </c>
      <c r="M48" s="5" t="n">
        <f aca="false">M12*M21</f>
        <v>69.5007329744849</v>
      </c>
      <c r="N48" s="5" t="n">
        <f aca="false">N12*N21</f>
        <v>79.6994220755473</v>
      </c>
      <c r="O48" s="5" t="n">
        <f aca="false">O12*O21</f>
        <v>91.4252819866963</v>
      </c>
      <c r="P48" s="5" t="n">
        <f aca="false">P12*P21</f>
        <v>104.912747798172</v>
      </c>
      <c r="Q48" s="5" t="n">
        <f aca="false">Q12*Q21</f>
        <v>120.433363321016</v>
      </c>
      <c r="R48" s="5" t="n">
        <f aca="false">R12*R21</f>
        <v>138.301881847735</v>
      </c>
      <c r="S48" s="5" t="n">
        <f aca="false">S12*S21</f>
        <v>157.824194951046</v>
      </c>
      <c r="T48" s="5" t="n">
        <f aca="false">T12*T21</f>
        <v>177.732457950274</v>
      </c>
      <c r="U48" s="5" t="n">
        <f aca="false">U12*U21</f>
        <v>200.151989489598</v>
      </c>
      <c r="V48" s="5" t="n">
        <f aca="false">V12*V21</f>
        <v>225.399566059298</v>
      </c>
      <c r="W48" s="5" t="n">
        <f aca="false">W12*W21</f>
        <v>253.831922976514</v>
      </c>
      <c r="X48" s="5" t="n">
        <f aca="false">X12*X21</f>
        <v>285.850794872447</v>
      </c>
      <c r="Y48" s="5" t="n">
        <f aca="false">Y12*Y21</f>
        <v>321.908591996801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173</v>
      </c>
    </row>
    <row r="2" customFormat="false" ht="15" hidden="false" customHeight="false" outlineLevel="0" collapsed="false">
      <c r="A2" s="2" t="s">
        <v>174</v>
      </c>
    </row>
    <row r="4" customFormat="false" ht="48" hidden="false" customHeight="true" outlineLevel="0" collapsed="false">
      <c r="A4" s="13" t="s">
        <v>18</v>
      </c>
      <c r="B4" s="13" t="s">
        <v>175</v>
      </c>
      <c r="C4" s="13" t="s">
        <v>176</v>
      </c>
      <c r="D4" s="13" t="s">
        <v>177</v>
      </c>
      <c r="E4" s="13" t="s">
        <v>178</v>
      </c>
      <c r="F4" s="13" t="s">
        <v>179</v>
      </c>
      <c r="G4" s="13" t="s">
        <v>180</v>
      </c>
      <c r="H4" s="13" t="s">
        <v>181</v>
      </c>
    </row>
    <row r="5" customFormat="false" ht="15" hidden="false" customHeight="false" outlineLevel="0" collapsed="false">
      <c r="A5" s="29" t="str">
        <f aca="false">Desglose!B4</f>
        <v>Nativo 18 meses</v>
      </c>
      <c r="B5" s="30" t="n">
        <f aca="false">Desglose!B5</f>
        <v>299</v>
      </c>
      <c r="C5" s="27" t="n">
        <f aca="false">Desglose!B21</f>
        <v>161.159271219808</v>
      </c>
      <c r="D5" s="27" t="n">
        <f aca="false">Desglose!B23</f>
        <v>96.159271219808</v>
      </c>
      <c r="E5" s="31" t="n">
        <f aca="false">Desglose!B24</f>
        <v>0.321602913778622</v>
      </c>
      <c r="F5" s="27" t="n">
        <f aca="false">Desglose!B36</f>
        <v>216.44908902476</v>
      </c>
      <c r="G5" s="27" t="n">
        <f aca="false">Desglose!B38</f>
        <v>151.44908902476</v>
      </c>
      <c r="H5" s="31" t="n">
        <f aca="false">Desglose!B39</f>
        <v>0.506518692390502</v>
      </c>
    </row>
    <row r="6" customFormat="false" ht="15" hidden="false" customHeight="false" outlineLevel="0" collapsed="false">
      <c r="A6" s="29" t="str">
        <f aca="false">Desglose!C4</f>
        <v>Nativo 3 años</v>
      </c>
      <c r="B6" s="30" t="n">
        <f aca="false">Desglose!C5</f>
        <v>349</v>
      </c>
      <c r="C6" s="27" t="n">
        <f aca="false">Desglose!C21</f>
        <v>191.837559763159</v>
      </c>
      <c r="D6" s="27" t="n">
        <f aca="false">Desglose!C23</f>
        <v>126.837559763159</v>
      </c>
      <c r="E6" s="31" t="n">
        <f aca="false">Desglose!C24</f>
        <v>0.363431403332834</v>
      </c>
      <c r="F6" s="27" t="n">
        <f aca="false">Desglose!C36</f>
        <v>254.796949703949</v>
      </c>
      <c r="G6" s="27" t="n">
        <f aca="false">Desglose!C38</f>
        <v>189.796949703949</v>
      </c>
      <c r="H6" s="31" t="n">
        <f aca="false">Desglose!C39</f>
        <v>0.543830801443979</v>
      </c>
    </row>
    <row r="7" customFormat="false" ht="15" hidden="false" customHeight="false" outlineLevel="0" collapsed="false">
      <c r="A7" s="29" t="str">
        <f aca="false">Desglose!D4</f>
        <v>Nativo 6 años</v>
      </c>
      <c r="B7" s="30" t="n">
        <f aca="false">Desglose!D5</f>
        <v>399</v>
      </c>
      <c r="C7" s="27" t="n">
        <f aca="false">Desglose!D21</f>
        <v>220.502631765115</v>
      </c>
      <c r="D7" s="27" t="n">
        <f aca="false">Desglose!D23</f>
        <v>155.502631765115</v>
      </c>
      <c r="E7" s="31" t="n">
        <f aca="false">Desglose!D24</f>
        <v>0.389730906679487</v>
      </c>
      <c r="F7" s="27" t="n">
        <f aca="false">Desglose!D36</f>
        <v>290.628289706394</v>
      </c>
      <c r="G7" s="27" t="n">
        <f aca="false">Desglose!D38</f>
        <v>225.628289706394</v>
      </c>
      <c r="H7" s="31" t="n">
        <f aca="false">Desglose!D39</f>
        <v>0.565484435354371</v>
      </c>
    </row>
    <row r="8" customFormat="false" ht="15" hidden="false" customHeight="false" outlineLevel="0" collapsed="false">
      <c r="A8" s="29" t="str">
        <f aca="false">Desglose!E4</f>
        <v>Vivo 18 meses</v>
      </c>
      <c r="B8" s="30" t="n">
        <f aca="false">Desglose!E5</f>
        <v>199</v>
      </c>
      <c r="C8" s="27" t="n">
        <f aca="false">Desglose!E21</f>
        <v>95.7762610503164</v>
      </c>
      <c r="D8" s="27" t="n">
        <f aca="false">Desglose!E23</f>
        <v>30.7762610503164</v>
      </c>
      <c r="E8" s="31" t="n">
        <f aca="false">Desglose!E24</f>
        <v>0.154654578142294</v>
      </c>
      <c r="F8" s="27" t="n">
        <f aca="false">Desglose!E36</f>
        <v>134.720326312896</v>
      </c>
      <c r="G8" s="27" t="n">
        <f aca="false">Desglose!E38</f>
        <v>69.7203263128955</v>
      </c>
      <c r="H8" s="31" t="n">
        <f aca="false">Desglose!E39</f>
        <v>0.350353398557264</v>
      </c>
    </row>
    <row r="9" customFormat="false" ht="15" hidden="false" customHeight="false" outlineLevel="0" collapsed="false">
      <c r="A9" s="29" t="str">
        <f aca="false">Desglose!F4</f>
        <v>Vivo 3 años</v>
      </c>
      <c r="B9" s="30" t="n">
        <f aca="false">Desglose!F5</f>
        <v>249</v>
      </c>
      <c r="C9" s="27" t="n">
        <f aca="false">Desglose!F21</f>
        <v>126.454549593667</v>
      </c>
      <c r="D9" s="27" t="n">
        <f aca="false">Desglose!F23</f>
        <v>61.4545495936674</v>
      </c>
      <c r="E9" s="31" t="n">
        <f aca="false">Desglose!F24</f>
        <v>0.246805420054889</v>
      </c>
      <c r="F9" s="27" t="n">
        <f aca="false">Desglose!F36</f>
        <v>173.068186992084</v>
      </c>
      <c r="G9" s="27" t="n">
        <f aca="false">Desglose!F38</f>
        <v>108.068186992084</v>
      </c>
      <c r="H9" s="31" t="n">
        <f aca="false">Desglose!F39</f>
        <v>0.43400878310074</v>
      </c>
    </row>
    <row r="10" customFormat="false" ht="15" hidden="false" customHeight="false" outlineLevel="0" collapsed="false">
      <c r="A10" s="29" t="str">
        <f aca="false">Desglose!G4</f>
        <v>Vivo 6 años</v>
      </c>
      <c r="B10" s="30" t="n">
        <f aca="false">Desglose!G5</f>
        <v>329</v>
      </c>
      <c r="C10" s="27" t="n">
        <f aca="false">Desglose!G21</f>
        <v>174.734524646471</v>
      </c>
      <c r="D10" s="27" t="n">
        <f aca="false">Desglose!G23</f>
        <v>109.734524646471</v>
      </c>
      <c r="E10" s="31" t="n">
        <f aca="false">Desglose!G24</f>
        <v>0.333539588591098</v>
      </c>
      <c r="F10" s="27" t="n">
        <f aca="false">Desglose!G36</f>
        <v>233.418155808089</v>
      </c>
      <c r="G10" s="27" t="n">
        <f aca="false">Desglose!G38</f>
        <v>168.418155808089</v>
      </c>
      <c r="H10" s="31" t="n">
        <f aca="false">Desglose!G39</f>
        <v>0.511909288170483</v>
      </c>
    </row>
    <row r="11" customFormat="false" ht="15" hidden="false" customHeight="false" outlineLevel="0" collapsed="false">
      <c r="A11" s="29" t="str">
        <f aca="false">Desglose!H4</f>
        <v>Ritual 1 filtro sin kit</v>
      </c>
      <c r="B11" s="30" t="n">
        <f aca="false">Desglose!H5</f>
        <v>99</v>
      </c>
      <c r="C11" s="27" t="n">
        <f aca="false">Desglose!H21</f>
        <v>35.3347823915212</v>
      </c>
      <c r="D11" s="27" t="n">
        <f aca="false">Desglose!H23</f>
        <v>-29.6652176084788</v>
      </c>
      <c r="E11" s="31" t="n">
        <f aca="false">Desglose!H24</f>
        <v>-0.299648662711907</v>
      </c>
      <c r="F11" s="27" t="n">
        <f aca="false">Desglose!H36</f>
        <v>59.1684779894015</v>
      </c>
      <c r="G11" s="27" t="n">
        <f aca="false">Desglose!H38</f>
        <v>-5.83152201059852</v>
      </c>
      <c r="H11" s="31" t="n">
        <f aca="false">Desglose!H39</f>
        <v>-0.0589042627333184</v>
      </c>
    </row>
    <row r="12" customFormat="false" ht="15" hidden="false" customHeight="false" outlineLevel="0" collapsed="false">
      <c r="A12" s="29" t="str">
        <f aca="false">Desglose!I4</f>
        <v>Ritual 1 filtro con kit</v>
      </c>
      <c r="B12" s="30" t="n">
        <f aca="false">Desglose!I5</f>
        <v>99</v>
      </c>
      <c r="C12" s="27" t="n">
        <f aca="false">Desglose!I21</f>
        <v>22.3403847152458</v>
      </c>
      <c r="D12" s="27" t="n">
        <f aca="false">Desglose!I23</f>
        <v>-42.6596152847542</v>
      </c>
      <c r="E12" s="31" t="n">
        <f aca="false">Desglose!I24</f>
        <v>-0.430905204896507</v>
      </c>
      <c r="F12" s="27" t="n">
        <f aca="false">Desglose!I36</f>
        <v>42.9254808940572</v>
      </c>
      <c r="G12" s="27" t="n">
        <f aca="false">Desglose!I38</f>
        <v>-22.0745191059428</v>
      </c>
      <c r="H12" s="31" t="n">
        <f aca="false">Desglose!I39</f>
        <v>-0.222974940464069</v>
      </c>
    </row>
    <row r="13" customFormat="false" ht="15" hidden="false" customHeight="false" outlineLevel="0" collapsed="false">
      <c r="A13" s="29" t="str">
        <f aca="false">Desglose!J4</f>
        <v>Ritual Dúo con kit</v>
      </c>
      <c r="B13" s="30" t="n">
        <f aca="false">Desglose!J5</f>
        <v>179</v>
      </c>
      <c r="C13" s="27" t="n">
        <f aca="false">Desglose!J21</f>
        <v>48.6579974982881</v>
      </c>
      <c r="D13" s="27" t="n">
        <f aca="false">Desglose!J23</f>
        <v>-16.3420025017119</v>
      </c>
      <c r="E13" s="31" t="n">
        <f aca="false">Desglose!J24</f>
        <v>-0.0912961033615189</v>
      </c>
      <c r="F13" s="27" t="n">
        <f aca="false">Desglose!J36</f>
        <v>75.8224968728601</v>
      </c>
      <c r="G13" s="27" t="n">
        <f aca="false">Desglose!J38</f>
        <v>10.8224968728601</v>
      </c>
      <c r="H13" s="31" t="n">
        <f aca="false">Desglose!J39</f>
        <v>0.0604608763846935</v>
      </c>
    </row>
    <row r="14" customFormat="false" ht="15" hidden="false" customHeight="false" outlineLevel="0" collapsed="false">
      <c r="A14" s="29" t="str">
        <f aca="false">Desglose!K4</f>
        <v>Ritual Familia con kit</v>
      </c>
      <c r="B14" s="30" t="n">
        <f aca="false">Desglose!K5</f>
        <v>249</v>
      </c>
      <c r="C14" s="27" t="n">
        <f aca="false">Desglose!K21</f>
        <v>68.4373092643813</v>
      </c>
      <c r="D14" s="27" t="n">
        <f aca="false">Desglose!K23</f>
        <v>3.43730926438133</v>
      </c>
      <c r="E14" s="31" t="n">
        <f aca="false">Desglose!K24</f>
        <v>0.0138044548770334</v>
      </c>
      <c r="F14" s="27" t="n">
        <f aca="false">Desglose!K36</f>
        <v>100.546636580477</v>
      </c>
      <c r="G14" s="27" t="n">
        <f aca="false">Desglose!K38</f>
        <v>35.5466365804767</v>
      </c>
      <c r="H14" s="31" t="n">
        <f aca="false">Desglose!K39</f>
        <v>0.14275757662842</v>
      </c>
    </row>
    <row r="15" customFormat="false" ht="15" hidden="false" customHeight="false" outlineLevel="0" collapsed="false">
      <c r="A15" s="29" t="str">
        <f aca="false">Desglose!L4</f>
        <v>Repuesto Nativo</v>
      </c>
      <c r="B15" s="30" t="n">
        <f aca="false">Desglose!L5</f>
        <v>199</v>
      </c>
      <c r="C15" s="27" t="n">
        <f aca="false">Desglose!L21</f>
        <v>111.698973695893</v>
      </c>
      <c r="D15" s="27" t="n">
        <f aca="false">Desglose!L23</f>
        <v>111.698973695893</v>
      </c>
      <c r="E15" s="31" t="n">
        <f aca="false">Desglose!L24</f>
        <v>0.561301375356248</v>
      </c>
      <c r="F15" s="27" t="n">
        <f aca="false">Desglose!L36</f>
        <v>154.623717119867</v>
      </c>
      <c r="G15" s="27" t="n">
        <f aca="false">Desglose!L38</f>
        <v>154.623717119867</v>
      </c>
      <c r="H15" s="31" t="n">
        <f aca="false">Desglose!L39</f>
        <v>0.777003603617421</v>
      </c>
    </row>
    <row r="16" customFormat="false" ht="15" hidden="false" customHeight="false" outlineLevel="0" collapsed="false">
      <c r="A16" s="29" t="str">
        <f aca="false">Desglose!M4</f>
        <v>Repuesto Vivo</v>
      </c>
      <c r="B16" s="30" t="n">
        <f aca="false">Desglose!M5</f>
        <v>99</v>
      </c>
      <c r="C16" s="27" t="n">
        <f aca="false">Desglose!M21</f>
        <v>46.3159635264018</v>
      </c>
      <c r="D16" s="27" t="n">
        <f aca="false">Desglose!M23</f>
        <v>46.3159635264018</v>
      </c>
      <c r="E16" s="31" t="n">
        <f aca="false">Desglose!M24</f>
        <v>0.4678380154182</v>
      </c>
      <c r="F16" s="27" t="n">
        <f aca="false">Desglose!M36</f>
        <v>72.8949544080023</v>
      </c>
      <c r="G16" s="27" t="n">
        <f aca="false">Desglose!M38</f>
        <v>72.8949544080023</v>
      </c>
      <c r="H16" s="31" t="n">
        <f aca="false">Desglose!M39</f>
        <v>0.736312670787902</v>
      </c>
    </row>
    <row r="17" customFormat="false" ht="15" hidden="false" customHeight="false" outlineLevel="0" collapsed="false">
      <c r="A17" s="29" t="str">
        <f aca="false">Desglose!N4</f>
        <v>Repuesto Ritual</v>
      </c>
      <c r="B17" s="30" t="n">
        <f aca="false">Desglose!N5</f>
        <v>49</v>
      </c>
      <c r="C17" s="27" t="n">
        <f aca="false">Desglose!N21</f>
        <v>2.64327730677542</v>
      </c>
      <c r="D17" s="27" t="n">
        <f aca="false">Desglose!N23</f>
        <v>2.64327730677542</v>
      </c>
      <c r="E17" s="31" t="n">
        <f aca="false">Desglose!N24</f>
        <v>0.0539444348321514</v>
      </c>
      <c r="F17" s="27" t="n">
        <f aca="false">Desglose!N36</f>
        <v>18.3040966334693</v>
      </c>
      <c r="G17" s="27" t="n">
        <f aca="false">Desglose!N38</f>
        <v>18.3040966334693</v>
      </c>
      <c r="H17" s="31" t="n">
        <f aca="false">Desglose!N39</f>
        <v>0.373552992519781</v>
      </c>
    </row>
    <row r="19" customFormat="false" ht="15" hidden="false" customHeight="false" outlineLevel="0" collapsed="false">
      <c r="A19" s="2" t="s">
        <v>182</v>
      </c>
    </row>
    <row r="20" customFormat="false" ht="15" hidden="false" customHeight="false" outlineLevel="0" collapsed="false">
      <c r="A20" s="2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185</v>
      </c>
    </row>
    <row r="3" customFormat="false" ht="15" hidden="false" customHeight="false" outlineLevel="0" collapsed="false">
      <c r="A3" s="11" t="s">
        <v>186</v>
      </c>
      <c r="B3" s="12"/>
      <c r="C3" s="12"/>
    </row>
    <row r="4" customFormat="false" ht="15" hidden="false" customHeight="false" outlineLevel="0" collapsed="false">
      <c r="A4" s="4" t="s">
        <v>187</v>
      </c>
      <c r="B4" s="22" t="n">
        <v>0.18</v>
      </c>
      <c r="C4" s="2" t="s">
        <v>188</v>
      </c>
    </row>
    <row r="5" customFormat="false" ht="15" hidden="false" customHeight="false" outlineLevel="0" collapsed="false">
      <c r="A5" s="4" t="s">
        <v>189</v>
      </c>
      <c r="B5" s="32" t="n">
        <v>3.5</v>
      </c>
      <c r="C5" s="2" t="s">
        <v>190</v>
      </c>
    </row>
    <row r="6" customFormat="false" ht="15" hidden="false" customHeight="false" outlineLevel="0" collapsed="false">
      <c r="A6" s="4" t="s">
        <v>191</v>
      </c>
      <c r="B6" s="33" t="n">
        <v>65</v>
      </c>
      <c r="C6" s="2" t="s">
        <v>192</v>
      </c>
    </row>
    <row r="7" customFormat="false" ht="15" hidden="false" customHeight="false" outlineLevel="0" collapsed="false">
      <c r="A7" s="4" t="s">
        <v>193</v>
      </c>
      <c r="B7" s="22" t="n">
        <v>0.8</v>
      </c>
      <c r="C7" s="2" t="s">
        <v>194</v>
      </c>
    </row>
    <row r="8" customFormat="false" ht="15" hidden="false" customHeight="false" outlineLevel="0" collapsed="false">
      <c r="A8" s="4" t="s">
        <v>195</v>
      </c>
      <c r="B8" s="22" t="n">
        <v>1</v>
      </c>
      <c r="C8" s="2" t="s">
        <v>196</v>
      </c>
    </row>
    <row r="10" customFormat="false" ht="15" hidden="false" customHeight="false" outlineLevel="0" collapsed="false">
      <c r="A10" s="11" t="s">
        <v>197</v>
      </c>
      <c r="B10" s="12"/>
      <c r="C10" s="12"/>
    </row>
    <row r="11" customFormat="false" ht="15" hidden="false" customHeight="false" outlineLevel="0" collapsed="false">
      <c r="A11" s="4" t="s">
        <v>198</v>
      </c>
      <c r="B11" s="17" t="n">
        <f aca="false">Costo_Lima!F35</f>
        <v>22.4199114837147</v>
      </c>
      <c r="C11" s="2" t="s">
        <v>199</v>
      </c>
    </row>
    <row r="12" customFormat="false" ht="15" hidden="false" customHeight="false" outlineLevel="0" collapsed="false">
      <c r="A12" s="4" t="s">
        <v>200</v>
      </c>
      <c r="B12" s="17" t="n">
        <f aca="false">Costo_Lima!F36</f>
        <v>2.51652067674348</v>
      </c>
      <c r="C12" s="2"/>
    </row>
    <row r="13" customFormat="false" ht="15" hidden="false" customHeight="false" outlineLevel="0" collapsed="false">
      <c r="A13" s="4" t="s">
        <v>201</v>
      </c>
      <c r="B13" s="17" t="n">
        <f aca="false">Costo_Lima!F37</f>
        <v>16.2429970953443</v>
      </c>
      <c r="C13" s="2" t="s">
        <v>202</v>
      </c>
    </row>
    <row r="15" customFormat="false" ht="15" hidden="false" customHeight="false" outlineLevel="0" collapsed="false">
      <c r="A15" s="11" t="s">
        <v>203</v>
      </c>
      <c r="B15" s="12"/>
      <c r="C15" s="12"/>
    </row>
    <row r="16" customFormat="false" ht="15" hidden="false" customHeight="false" outlineLevel="0" collapsed="false">
      <c r="A16" s="4" t="s">
        <v>204</v>
      </c>
      <c r="B16" s="33" t="n">
        <v>3.5</v>
      </c>
      <c r="C16" s="2" t="s">
        <v>205</v>
      </c>
    </row>
    <row r="17" customFormat="false" ht="15" hidden="false" customHeight="false" outlineLevel="0" collapsed="false">
      <c r="A17" s="4" t="s">
        <v>206</v>
      </c>
      <c r="B17" s="33" t="n">
        <v>5</v>
      </c>
      <c r="C17" s="2" t="s">
        <v>205</v>
      </c>
    </row>
    <row r="18" customFormat="false" ht="15" hidden="false" customHeight="false" outlineLevel="0" collapsed="false">
      <c r="A18" s="4" t="s">
        <v>207</v>
      </c>
      <c r="B18" s="33" t="n">
        <v>12.5</v>
      </c>
      <c r="C18" s="2" t="s">
        <v>208</v>
      </c>
    </row>
    <row r="19" customFormat="false" ht="15" hidden="false" customHeight="false" outlineLevel="0" collapsed="false">
      <c r="A19" s="4" t="s">
        <v>209</v>
      </c>
      <c r="B19" s="33" t="n">
        <v>50</v>
      </c>
      <c r="C19" s="2" t="s">
        <v>210</v>
      </c>
    </row>
    <row r="20" customFormat="false" ht="15" hidden="false" customHeight="false" outlineLevel="0" collapsed="false">
      <c r="A20" s="4" t="s">
        <v>211</v>
      </c>
      <c r="B20" s="34" t="n">
        <v>1</v>
      </c>
      <c r="C20" s="2" t="s">
        <v>212</v>
      </c>
    </row>
    <row r="22" customFormat="false" ht="15" hidden="false" customHeight="false" outlineLevel="0" collapsed="false">
      <c r="A22" s="11" t="s">
        <v>213</v>
      </c>
      <c r="B22" s="12"/>
      <c r="C22" s="12"/>
    </row>
    <row r="23" customFormat="false" ht="15" hidden="false" customHeight="false" outlineLevel="0" collapsed="false">
      <c r="A23" s="4" t="s">
        <v>214</v>
      </c>
      <c r="B23" s="22" t="n">
        <v>0.5</v>
      </c>
      <c r="C23" s="2" t="s">
        <v>215</v>
      </c>
    </row>
    <row r="24" customFormat="false" ht="15" hidden="false" customHeight="false" outlineLevel="0" collapsed="false">
      <c r="A24" s="4" t="s">
        <v>216</v>
      </c>
      <c r="B24" s="22" t="n">
        <v>0.2</v>
      </c>
      <c r="C24" s="2" t="s">
        <v>217</v>
      </c>
    </row>
    <row r="25" customFormat="false" ht="15" hidden="false" customHeight="false" outlineLevel="0" collapsed="false">
      <c r="A25" s="4" t="s">
        <v>218</v>
      </c>
      <c r="B25" s="22" t="n">
        <v>0.15</v>
      </c>
      <c r="C25" s="2" t="s">
        <v>217</v>
      </c>
    </row>
    <row r="26" customFormat="false" ht="15" hidden="false" customHeight="false" outlineLevel="0" collapsed="false">
      <c r="A26" s="4" t="s">
        <v>219</v>
      </c>
      <c r="B26" s="22" t="n">
        <v>0.15</v>
      </c>
      <c r="C26" s="2" t="s">
        <v>217</v>
      </c>
    </row>
    <row r="27" customFormat="false" ht="15" hidden="false" customHeight="false" outlineLevel="0" collapsed="false">
      <c r="A27" s="4" t="s">
        <v>220</v>
      </c>
      <c r="B27" s="35" t="n">
        <v>0.0349</v>
      </c>
      <c r="C27" s="2" t="s">
        <v>221</v>
      </c>
    </row>
    <row r="28" customFormat="false" ht="15" hidden="false" customHeight="false" outlineLevel="0" collapsed="false">
      <c r="A28" s="4" t="s">
        <v>222</v>
      </c>
      <c r="B28" s="35" t="n">
        <v>0.0648</v>
      </c>
      <c r="C28" s="2" t="s">
        <v>223</v>
      </c>
    </row>
    <row r="29" customFormat="false" ht="15" hidden="false" customHeight="false" outlineLevel="0" collapsed="false">
      <c r="A29" s="4" t="s">
        <v>224</v>
      </c>
      <c r="B29" s="35" t="n">
        <v>0.0898</v>
      </c>
      <c r="C29" s="2" t="s">
        <v>225</v>
      </c>
    </row>
    <row r="30" customFormat="false" ht="15" hidden="false" customHeight="false" outlineLevel="0" collapsed="false">
      <c r="A30" s="4" t="s">
        <v>226</v>
      </c>
      <c r="B30" s="33" t="n">
        <v>1</v>
      </c>
      <c r="C30" s="2" t="s">
        <v>227</v>
      </c>
    </row>
    <row r="31" customFormat="false" ht="15" hidden="false" customHeight="false" outlineLevel="0" collapsed="false">
      <c r="A31" s="4" t="s">
        <v>228</v>
      </c>
      <c r="B31" s="36" t="n">
        <f aca="false">B24*B27+B25*B28+B26*B29</f>
        <v>0.03017</v>
      </c>
      <c r="C31" s="2"/>
    </row>
    <row r="32" customFormat="false" ht="15" hidden="false" customHeight="false" outlineLevel="0" collapsed="false">
      <c r="A32" s="4" t="s">
        <v>229</v>
      </c>
      <c r="B32" s="37" t="n">
        <f aca="false">(B24+B25+B26)*B30</f>
        <v>0.5</v>
      </c>
      <c r="C32" s="2"/>
    </row>
    <row r="33" customFormat="false" ht="15" hidden="false" customHeight="false" outlineLevel="0" collapsed="false">
      <c r="A33" s="4" t="s">
        <v>230</v>
      </c>
      <c r="B33" s="28" t="n">
        <f aca="false">SUM(B23:B26)</f>
        <v>1</v>
      </c>
      <c r="C33" s="2"/>
    </row>
    <row r="35" customFormat="false" ht="15" hidden="false" customHeight="false" outlineLevel="0" collapsed="false">
      <c r="A35" s="11" t="s">
        <v>231</v>
      </c>
      <c r="B35" s="12"/>
      <c r="C35" s="12"/>
    </row>
    <row r="36" customFormat="false" ht="15" hidden="false" customHeight="false" outlineLevel="0" collapsed="false">
      <c r="A36" s="4" t="s">
        <v>232</v>
      </c>
      <c r="B36" s="33" t="n">
        <v>400</v>
      </c>
      <c r="C36" s="2" t="s">
        <v>227</v>
      </c>
    </row>
    <row r="37" customFormat="false" ht="15" hidden="false" customHeight="false" outlineLevel="0" collapsed="false">
      <c r="A37" s="4" t="s">
        <v>233</v>
      </c>
      <c r="B37" s="15" t="n">
        <v>100</v>
      </c>
      <c r="C37" s="2" t="s">
        <v>234</v>
      </c>
    </row>
    <row r="38" customFormat="false" ht="15" hidden="false" customHeight="false" outlineLevel="0" collapsed="false">
      <c r="A38" s="4" t="s">
        <v>235</v>
      </c>
      <c r="B38" s="37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31.5" hidden="false" customHeight="true" outlineLevel="0" collapsed="false">
      <c r="A4" s="38" t="s">
        <v>18</v>
      </c>
      <c r="B4" s="39" t="s">
        <v>238</v>
      </c>
      <c r="C4" s="39" t="s">
        <v>239</v>
      </c>
      <c r="D4" s="39" t="s">
        <v>240</v>
      </c>
      <c r="E4" s="39" t="s">
        <v>241</v>
      </c>
      <c r="F4" s="39" t="s">
        <v>87</v>
      </c>
      <c r="G4" s="39" t="s">
        <v>242</v>
      </c>
      <c r="H4" s="39" t="s">
        <v>243</v>
      </c>
      <c r="I4" s="39" t="s">
        <v>244</v>
      </c>
      <c r="J4" s="39" t="s">
        <v>245</v>
      </c>
      <c r="K4" s="39" t="s">
        <v>246</v>
      </c>
      <c r="L4" s="39" t="s">
        <v>247</v>
      </c>
      <c r="M4" s="39" t="s">
        <v>248</v>
      </c>
      <c r="N4" s="39" t="s">
        <v>249</v>
      </c>
    </row>
    <row r="5" customFormat="false" ht="15" hidden="false" customHeight="false" outlineLevel="0" collapsed="false">
      <c r="A5" s="4" t="s">
        <v>250</v>
      </c>
      <c r="B5" s="15" t="n">
        <v>299</v>
      </c>
      <c r="C5" s="15" t="n">
        <v>349</v>
      </c>
      <c r="D5" s="15" t="n">
        <v>399</v>
      </c>
      <c r="E5" s="15" t="n">
        <v>199</v>
      </c>
      <c r="F5" s="15" t="n">
        <v>249</v>
      </c>
      <c r="G5" s="15" t="n">
        <v>329</v>
      </c>
      <c r="H5" s="15" t="n">
        <v>99</v>
      </c>
      <c r="I5" s="15" t="n">
        <v>99</v>
      </c>
      <c r="J5" s="15" t="n">
        <v>179</v>
      </c>
      <c r="K5" s="15" t="n">
        <v>249</v>
      </c>
      <c r="L5" s="15" t="n">
        <v>199</v>
      </c>
      <c r="M5" s="15" t="n">
        <v>99</v>
      </c>
      <c r="N5" s="15" t="n">
        <v>49</v>
      </c>
    </row>
    <row r="6" customFormat="false" ht="15" hidden="false" customHeight="false" outlineLevel="0" collapsed="false">
      <c r="A6" s="4" t="s">
        <v>251</v>
      </c>
      <c r="B6" s="24" t="n">
        <v>1</v>
      </c>
      <c r="C6" s="24" t="n">
        <v>1</v>
      </c>
      <c r="D6" s="24" t="n">
        <v>1</v>
      </c>
      <c r="E6" s="24" t="n">
        <v>1</v>
      </c>
      <c r="F6" s="24" t="n">
        <v>1</v>
      </c>
      <c r="G6" s="24" t="n">
        <v>1</v>
      </c>
      <c r="H6" s="24" t="n">
        <v>0</v>
      </c>
      <c r="I6" s="24" t="n">
        <v>0</v>
      </c>
      <c r="J6" s="24" t="n">
        <v>0</v>
      </c>
      <c r="K6" s="24" t="n">
        <v>0</v>
      </c>
      <c r="L6" s="24" t="n">
        <v>0</v>
      </c>
      <c r="M6" s="24" t="n">
        <v>0</v>
      </c>
      <c r="N6" s="24" t="n">
        <v>0</v>
      </c>
    </row>
    <row r="7" customFormat="false" ht="15" hidden="false" customHeight="false" outlineLevel="0" collapsed="false">
      <c r="A7" s="4" t="s">
        <v>83</v>
      </c>
      <c r="B7" s="24" t="n">
        <v>0</v>
      </c>
      <c r="C7" s="24" t="n">
        <v>1</v>
      </c>
      <c r="D7" s="24" t="n">
        <v>3</v>
      </c>
      <c r="E7" s="24" t="n">
        <v>0</v>
      </c>
      <c r="F7" s="24" t="n">
        <v>1</v>
      </c>
      <c r="G7" s="24" t="n">
        <v>3</v>
      </c>
      <c r="H7" s="24" t="n">
        <v>0</v>
      </c>
      <c r="I7" s="24" t="n">
        <v>0</v>
      </c>
      <c r="J7" s="24" t="n">
        <v>0</v>
      </c>
      <c r="K7" s="24" t="n">
        <v>0</v>
      </c>
      <c r="L7" s="24" t="n">
        <v>1</v>
      </c>
      <c r="M7" s="24" t="n">
        <v>1</v>
      </c>
      <c r="N7" s="24" t="n">
        <v>0</v>
      </c>
    </row>
    <row r="8" customFormat="false" ht="15" hidden="false" customHeight="false" outlineLevel="0" collapsed="false">
      <c r="A8" s="4" t="s">
        <v>252</v>
      </c>
      <c r="B8" s="24" t="n">
        <v>0</v>
      </c>
      <c r="C8" s="24" t="n">
        <v>0</v>
      </c>
      <c r="D8" s="24" t="n">
        <v>0</v>
      </c>
      <c r="E8" s="24" t="n">
        <v>0</v>
      </c>
      <c r="F8" s="24" t="n">
        <v>0</v>
      </c>
      <c r="G8" s="24" t="n">
        <v>0</v>
      </c>
      <c r="H8" s="24" t="n">
        <v>1</v>
      </c>
      <c r="I8" s="24" t="n">
        <v>2</v>
      </c>
      <c r="J8" s="24" t="n">
        <v>4</v>
      </c>
      <c r="K8" s="24" t="n">
        <v>6</v>
      </c>
      <c r="L8" s="24" t="n">
        <v>0</v>
      </c>
      <c r="M8" s="24" t="n">
        <v>0</v>
      </c>
      <c r="N8" s="24" t="n">
        <v>1</v>
      </c>
    </row>
    <row r="9" customFormat="false" ht="15" hidden="false" customHeight="false" outlineLevel="0" collapsed="false">
      <c r="A9" s="4" t="s">
        <v>253</v>
      </c>
      <c r="B9" s="24" t="n">
        <v>1</v>
      </c>
      <c r="C9" s="24" t="n">
        <v>1</v>
      </c>
      <c r="D9" s="24" t="n">
        <v>1</v>
      </c>
      <c r="E9" s="24" t="n">
        <v>1</v>
      </c>
      <c r="F9" s="24" t="n">
        <v>1</v>
      </c>
      <c r="G9" s="24" t="n">
        <v>1</v>
      </c>
      <c r="H9" s="24" t="n">
        <v>1</v>
      </c>
      <c r="I9" s="24" t="n">
        <v>1</v>
      </c>
      <c r="J9" s="24" t="n">
        <v>1</v>
      </c>
      <c r="K9" s="24" t="n">
        <v>1</v>
      </c>
      <c r="L9" s="24" t="n">
        <v>0</v>
      </c>
      <c r="M9" s="24" t="n">
        <v>0</v>
      </c>
      <c r="N9" s="24" t="n">
        <v>0</v>
      </c>
    </row>
    <row r="11" customFormat="false" ht="15" hidden="false" customHeight="false" outlineLevel="0" collapsed="false">
      <c r="A11" s="11" t="s">
        <v>254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customFormat="false" ht="15" hidden="false" customHeight="false" outlineLevel="0" collapsed="false">
      <c r="A12" s="4" t="s">
        <v>255</v>
      </c>
      <c r="B12" s="6" t="n">
        <f aca="false">B5</f>
        <v>299</v>
      </c>
      <c r="C12" s="6" t="n">
        <f aca="false">C5</f>
        <v>349</v>
      </c>
      <c r="D12" s="6" t="n">
        <f aca="false">D5</f>
        <v>399</v>
      </c>
      <c r="E12" s="6" t="n">
        <f aca="false">E5</f>
        <v>199</v>
      </c>
      <c r="F12" s="6" t="n">
        <f aca="false">F5</f>
        <v>249</v>
      </c>
      <c r="G12" s="6" t="n">
        <f aca="false">G5</f>
        <v>329</v>
      </c>
      <c r="H12" s="6" t="n">
        <f aca="false">H5</f>
        <v>99</v>
      </c>
      <c r="I12" s="6" t="n">
        <f aca="false">I5</f>
        <v>99</v>
      </c>
      <c r="J12" s="6" t="n">
        <f aca="false">J5</f>
        <v>179</v>
      </c>
      <c r="K12" s="6" t="n">
        <f aca="false">K5</f>
        <v>249</v>
      </c>
      <c r="L12" s="6" t="n">
        <f aca="false">L5</f>
        <v>199</v>
      </c>
      <c r="M12" s="6" t="n">
        <f aca="false">M5</f>
        <v>99</v>
      </c>
      <c r="N12" s="6" t="n">
        <f aca="false">N5</f>
        <v>49</v>
      </c>
    </row>
    <row r="13" customFormat="false" ht="15" hidden="false" customHeight="false" outlineLevel="0" collapsed="false">
      <c r="A13" s="4" t="s">
        <v>187</v>
      </c>
      <c r="B13" s="6" t="n">
        <f aca="false">-(B5-B5/(1+Supuestos!$B$4))</f>
        <v>-45.6101694915254</v>
      </c>
      <c r="C13" s="6" t="n">
        <f aca="false">-(C5-C5/(1+Supuestos!$B$4))</f>
        <v>-53.2372881355932</v>
      </c>
      <c r="D13" s="6" t="n">
        <f aca="false">-(D5-D5/(1+Supuestos!$B$4))</f>
        <v>-60.864406779661</v>
      </c>
      <c r="E13" s="6" t="n">
        <f aca="false">-(E5-E5/(1+Supuestos!$B$4))</f>
        <v>-30.3559322033898</v>
      </c>
      <c r="F13" s="6" t="n">
        <f aca="false">-(F5-F5/(1+Supuestos!$B$4))</f>
        <v>-37.9830508474576</v>
      </c>
      <c r="G13" s="6" t="n">
        <f aca="false">-(G5-G5/(1+Supuestos!$B$4))</f>
        <v>-50.1864406779661</v>
      </c>
      <c r="H13" s="6" t="n">
        <f aca="false">-(H5-H5/(1+Supuestos!$B$4))</f>
        <v>-15.1016949152542</v>
      </c>
      <c r="I13" s="6" t="n">
        <f aca="false">-(I5-I5/(1+Supuestos!$B$4))</f>
        <v>-15.1016949152542</v>
      </c>
      <c r="J13" s="6" t="n">
        <f aca="false">-(J5-J5/(1+Supuestos!$B$4))</f>
        <v>-27.3050847457627</v>
      </c>
      <c r="K13" s="6" t="n">
        <f aca="false">-(K5-K5/(1+Supuestos!$B$4))</f>
        <v>-37.9830508474576</v>
      </c>
      <c r="L13" s="6" t="n">
        <f aca="false">-(L5-L5/(1+Supuestos!$B$4))</f>
        <v>-30.3559322033898</v>
      </c>
      <c r="M13" s="6" t="n">
        <f aca="false">-(M5-M5/(1+Supuestos!$B$4))</f>
        <v>-15.1016949152542</v>
      </c>
      <c r="N13" s="6" t="n">
        <f aca="false">-(N5-N5/(1+Supuestos!$B$4))</f>
        <v>-7.47457627118644</v>
      </c>
    </row>
    <row r="14" customFormat="false" ht="15" hidden="false" customHeight="false" outlineLevel="0" collapsed="false">
      <c r="A14" s="8" t="s">
        <v>256</v>
      </c>
      <c r="B14" s="40" t="n">
        <f aca="false">B5/(1+Supuestos!$B$4)</f>
        <v>253.389830508475</v>
      </c>
      <c r="C14" s="40" t="n">
        <f aca="false">C5/(1+Supuestos!$B$4)</f>
        <v>295.762711864407</v>
      </c>
      <c r="D14" s="40" t="n">
        <f aca="false">D5/(1+Supuestos!$B$4)</f>
        <v>338.135593220339</v>
      </c>
      <c r="E14" s="40" t="n">
        <f aca="false">E5/(1+Supuestos!$B$4)</f>
        <v>168.64406779661</v>
      </c>
      <c r="F14" s="40" t="n">
        <f aca="false">F5/(1+Supuestos!$B$4)</f>
        <v>211.016949152542</v>
      </c>
      <c r="G14" s="40" t="n">
        <f aca="false">G5/(1+Supuestos!$B$4)</f>
        <v>278.813559322034</v>
      </c>
      <c r="H14" s="40" t="n">
        <f aca="false">H5/(1+Supuestos!$B$4)</f>
        <v>83.8983050847458</v>
      </c>
      <c r="I14" s="40" t="n">
        <f aca="false">I5/(1+Supuestos!$B$4)</f>
        <v>83.8983050847458</v>
      </c>
      <c r="J14" s="40" t="n">
        <f aca="false">J5/(1+Supuestos!$B$4)</f>
        <v>151.694915254237</v>
      </c>
      <c r="K14" s="40" t="n">
        <f aca="false">K5/(1+Supuestos!$B$4)</f>
        <v>211.016949152542</v>
      </c>
      <c r="L14" s="40" t="n">
        <f aca="false">L5/(1+Supuestos!$B$4)</f>
        <v>168.64406779661</v>
      </c>
      <c r="M14" s="40" t="n">
        <f aca="false">M5/(1+Supuestos!$B$4)</f>
        <v>83.8983050847458</v>
      </c>
      <c r="N14" s="40" t="n">
        <f aca="false">N5/(1+Supuestos!$B$4)</f>
        <v>41.5254237288136</v>
      </c>
    </row>
    <row r="15" customFormat="false" ht="15" hidden="false" customHeight="false" outlineLevel="0" collapsed="false">
      <c r="A15" s="4" t="s">
        <v>18</v>
      </c>
      <c r="B15" s="6" t="n">
        <f aca="false">-(B6*Supuestos!$B$11+B7*Supuestos!$B$12+B8*Supuestos!$B$13)</f>
        <v>-22.4199114837147</v>
      </c>
      <c r="C15" s="6" t="n">
        <f aca="false">-(C6*Supuestos!$B$11+C7*Supuestos!$B$12+C8*Supuestos!$B$13)</f>
        <v>-24.9364321604581</v>
      </c>
      <c r="D15" s="6" t="n">
        <f aca="false">-(D6*Supuestos!$B$11+D7*Supuestos!$B$12+D8*Supuestos!$B$13)</f>
        <v>-29.9694735139451</v>
      </c>
      <c r="E15" s="6" t="n">
        <f aca="false">-(E6*Supuestos!$B$11+E7*Supuestos!$B$12+E8*Supuestos!$B$13)</f>
        <v>-22.4199114837147</v>
      </c>
      <c r="F15" s="6" t="n">
        <f aca="false">-(F6*Supuestos!$B$11+F7*Supuestos!$B$12+F8*Supuestos!$B$13)</f>
        <v>-24.9364321604581</v>
      </c>
      <c r="G15" s="6" t="n">
        <f aca="false">-(G6*Supuestos!$B$11+G7*Supuestos!$B$12+G8*Supuestos!$B$13)</f>
        <v>-29.9694735139451</v>
      </c>
      <c r="H15" s="6" t="n">
        <f aca="false">-(H6*Supuestos!$B$11+H7*Supuestos!$B$12+H8*Supuestos!$B$13)</f>
        <v>-16.2429970953443</v>
      </c>
      <c r="I15" s="6" t="n">
        <f aca="false">-(I6*Supuestos!$B$11+I7*Supuestos!$B$12+I8*Supuestos!$B$13)</f>
        <v>-32.4859941906886</v>
      </c>
      <c r="J15" s="6" t="n">
        <f aca="false">-(J6*Supuestos!$B$11+J7*Supuestos!$B$12+J8*Supuestos!$B$13)</f>
        <v>-64.9719883813772</v>
      </c>
      <c r="K15" s="6" t="n">
        <f aca="false">-(K6*Supuestos!$B$11+K7*Supuestos!$B$12+K8*Supuestos!$B$13)</f>
        <v>-97.4579825720657</v>
      </c>
      <c r="L15" s="6" t="n">
        <f aca="false">-(L6*Supuestos!$B$11+L7*Supuestos!$B$12+L8*Supuestos!$B$13)</f>
        <v>-2.51652067674348</v>
      </c>
      <c r="M15" s="6" t="n">
        <f aca="false">-(M6*Supuestos!$B$11+M7*Supuestos!$B$12+M8*Supuestos!$B$13)</f>
        <v>-2.51652067674348</v>
      </c>
      <c r="N15" s="6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4" t="s">
        <v>257</v>
      </c>
      <c r="B16" s="6" t="n">
        <f aca="false">-(B5*Supuestos!$B$31+Supuestos!$B$32)</f>
        <v>-9.52083</v>
      </c>
      <c r="C16" s="6" t="n">
        <f aca="false">-(C5*Supuestos!$B$31+Supuestos!$B$32)</f>
        <v>-11.02933</v>
      </c>
      <c r="D16" s="6" t="n">
        <f aca="false">-(D5*Supuestos!$B$31+Supuestos!$B$32)</f>
        <v>-12.53783</v>
      </c>
      <c r="E16" s="6" t="n">
        <f aca="false">-(E5*Supuestos!$B$31+Supuestos!$B$32)</f>
        <v>-6.50383</v>
      </c>
      <c r="F16" s="6" t="n">
        <f aca="false">-(F5*Supuestos!$B$31+Supuestos!$B$32)</f>
        <v>-8.01233</v>
      </c>
      <c r="G16" s="6" t="n">
        <f aca="false">-(G5*Supuestos!$B$31+Supuestos!$B$32)</f>
        <v>-10.42593</v>
      </c>
      <c r="H16" s="6" t="n">
        <f aca="false">-(H5*Supuestos!$B$31+Supuestos!$B$32)</f>
        <v>-3.48683</v>
      </c>
      <c r="I16" s="6" t="n">
        <f aca="false">-(I5*Supuestos!$B$31+Supuestos!$B$32)</f>
        <v>-3.48683</v>
      </c>
      <c r="J16" s="6" t="n">
        <f aca="false">-(J5*Supuestos!$B$31+Supuestos!$B$32)</f>
        <v>-5.90043</v>
      </c>
      <c r="K16" s="6" t="n">
        <f aca="false">-(K5*Supuestos!$B$31+Supuestos!$B$32)</f>
        <v>-8.01233</v>
      </c>
      <c r="L16" s="6" t="n">
        <f aca="false">-(L5*Supuestos!$B$31+Supuestos!$B$32)</f>
        <v>-6.50383</v>
      </c>
      <c r="M16" s="6" t="n">
        <f aca="false">-(M5*Supuestos!$B$31+Supuestos!$B$32)</f>
        <v>-3.48683</v>
      </c>
      <c r="N16" s="6" t="n">
        <f aca="false">-(N5*Supuestos!$B$31+Supuestos!$B$32)</f>
        <v>-1.97833</v>
      </c>
    </row>
    <row r="17" customFormat="false" ht="15" hidden="false" customHeight="false" outlineLevel="0" collapsed="false">
      <c r="A17" s="4" t="s">
        <v>258</v>
      </c>
      <c r="B17" s="27" t="n">
        <f aca="false">-Supuestos!$B$16</f>
        <v>-3.5</v>
      </c>
      <c r="C17" s="27" t="n">
        <f aca="false">-Supuestos!$B$16</f>
        <v>-3.5</v>
      </c>
      <c r="D17" s="27" t="n">
        <f aca="false">-Supuestos!$B$16</f>
        <v>-3.5</v>
      </c>
      <c r="E17" s="27" t="n">
        <f aca="false">-Supuestos!$B$16</f>
        <v>-3.5</v>
      </c>
      <c r="F17" s="27" t="n">
        <f aca="false">-Supuestos!$B$16</f>
        <v>-3.5</v>
      </c>
      <c r="G17" s="27" t="n">
        <f aca="false">-Supuestos!$B$16</f>
        <v>-3.5</v>
      </c>
      <c r="H17" s="27" t="n">
        <f aca="false">-Supuestos!$B$16</f>
        <v>-3.5</v>
      </c>
      <c r="I17" s="27" t="n">
        <f aca="false">-Supuestos!$B$16</f>
        <v>-3.5</v>
      </c>
      <c r="J17" s="27" t="n">
        <f aca="false">-Supuestos!$B$16</f>
        <v>-3.5</v>
      </c>
      <c r="K17" s="27" t="n">
        <f aca="false">-Supuestos!$B$16</f>
        <v>-3.5</v>
      </c>
      <c r="L17" s="27" t="n">
        <f aca="false">-Supuestos!$B$16</f>
        <v>-3.5</v>
      </c>
      <c r="M17" s="27" t="n">
        <f aca="false">-Supuestos!$B$16</f>
        <v>-3.5</v>
      </c>
      <c r="N17" s="27" t="n">
        <f aca="false">-Supuestos!$B$16</f>
        <v>-3.5</v>
      </c>
    </row>
    <row r="18" customFormat="false" ht="15" hidden="false" customHeight="false" outlineLevel="0" collapsed="false">
      <c r="A18" s="4" t="s">
        <v>259</v>
      </c>
      <c r="B18" s="27" t="n">
        <f aca="false">-Supuestos!$B$18</f>
        <v>-12.5</v>
      </c>
      <c r="C18" s="27" t="n">
        <f aca="false">-Supuestos!$B$18</f>
        <v>-12.5</v>
      </c>
      <c r="D18" s="27" t="n">
        <f aca="false">-Supuestos!$B$18</f>
        <v>-12.5</v>
      </c>
      <c r="E18" s="27" t="n">
        <f aca="false">-Supuestos!$B$18</f>
        <v>-12.5</v>
      </c>
      <c r="F18" s="27" t="n">
        <f aca="false">-Supuestos!$B$18</f>
        <v>-12.5</v>
      </c>
      <c r="G18" s="27" t="n">
        <f aca="false">-Supuestos!$B$18</f>
        <v>-12.5</v>
      </c>
      <c r="H18" s="27" t="n">
        <f aca="false">-Supuestos!$B$18</f>
        <v>-12.5</v>
      </c>
      <c r="I18" s="27" t="n">
        <f aca="false">-Supuestos!$B$18</f>
        <v>-12.5</v>
      </c>
      <c r="J18" s="27" t="n">
        <f aca="false">-Supuestos!$B$18</f>
        <v>-12.5</v>
      </c>
      <c r="K18" s="27" t="n">
        <f aca="false">-Supuestos!$B$18</f>
        <v>-12.5</v>
      </c>
      <c r="L18" s="27" t="n">
        <f aca="false">-Supuestos!$B$18</f>
        <v>-12.5</v>
      </c>
      <c r="M18" s="27" t="n">
        <f aca="false">-Supuestos!$B$18</f>
        <v>-12.5</v>
      </c>
      <c r="N18" s="27" t="n">
        <f aca="false">-Supuestos!$B$18</f>
        <v>-12.5</v>
      </c>
    </row>
    <row r="19" customFormat="false" ht="15" hidden="false" customHeight="false" outlineLevel="0" collapsed="false">
      <c r="A19" s="8" t="s">
        <v>260</v>
      </c>
      <c r="B19" s="40" t="n">
        <f aca="false">SUM(B14:B18)</f>
        <v>205.44908902476</v>
      </c>
      <c r="C19" s="40" t="n">
        <f aca="false">SUM(C14:C18)</f>
        <v>243.796949703949</v>
      </c>
      <c r="D19" s="40" t="n">
        <f aca="false">SUM(D14:D18)</f>
        <v>279.628289706394</v>
      </c>
      <c r="E19" s="40" t="n">
        <f aca="false">SUM(E14:E18)</f>
        <v>123.720326312896</v>
      </c>
      <c r="F19" s="40" t="n">
        <f aca="false">SUM(F14:F18)</f>
        <v>162.068186992084</v>
      </c>
      <c r="G19" s="40" t="n">
        <f aca="false">SUM(G14:G18)</f>
        <v>222.418155808089</v>
      </c>
      <c r="H19" s="40" t="n">
        <f aca="false">SUM(H14:H18)</f>
        <v>48.1684779894015</v>
      </c>
      <c r="I19" s="40" t="n">
        <f aca="false">SUM(I14:I18)</f>
        <v>31.9254808940572</v>
      </c>
      <c r="J19" s="40" t="n">
        <f aca="false">SUM(J14:J18)</f>
        <v>64.8224968728601</v>
      </c>
      <c r="K19" s="40" t="n">
        <f aca="false">SUM(K14:K18)</f>
        <v>89.5466365804767</v>
      </c>
      <c r="L19" s="40" t="n">
        <f aca="false">SUM(L14:L18)</f>
        <v>143.623717119867</v>
      </c>
      <c r="M19" s="40" t="n">
        <f aca="false">SUM(M14:M18)</f>
        <v>61.8949544080023</v>
      </c>
      <c r="N19" s="40" t="n">
        <f aca="false">SUM(N14:N18)</f>
        <v>7.30409663346928</v>
      </c>
    </row>
    <row r="20" customFormat="false" ht="15" hidden="false" customHeight="false" outlineLevel="0" collapsed="false">
      <c r="A20" s="4" t="s">
        <v>261</v>
      </c>
      <c r="B20" s="6" t="n">
        <f aca="false">-(1-Supuestos!$B$7)*(B14+B15+B16)</f>
        <v>-44.289817804952</v>
      </c>
      <c r="C20" s="6" t="n">
        <f aca="false">-(1-Supuestos!$B$7)*(C14+C15+C16)</f>
        <v>-51.9593899407897</v>
      </c>
      <c r="D20" s="6" t="n">
        <f aca="false">-(1-Supuestos!$B$7)*(D14+D15+D16)</f>
        <v>-59.1256579412788</v>
      </c>
      <c r="E20" s="6" t="n">
        <f aca="false">-(1-Supuestos!$B$7)*(E14+E15+E16)</f>
        <v>-27.9440652625791</v>
      </c>
      <c r="F20" s="6" t="n">
        <f aca="false">-(1-Supuestos!$B$7)*(F14+F15+F16)</f>
        <v>-35.6136373984168</v>
      </c>
      <c r="G20" s="6" t="n">
        <f aca="false">-(1-Supuestos!$B$7)*(G14+G15+G16)</f>
        <v>-47.6836311616178</v>
      </c>
      <c r="H20" s="6" t="n">
        <f aca="false">-(1-Supuestos!$B$7)*(H14+H15+H16)</f>
        <v>-12.8336955978803</v>
      </c>
      <c r="I20" s="6" t="n">
        <f aca="false">-(1-Supuestos!$B$7)*(I14+I15+I16)</f>
        <v>-9.58509617881144</v>
      </c>
      <c r="J20" s="6" t="n">
        <f aca="false">-(1-Supuestos!$B$7)*(J14+J15+J16)</f>
        <v>-16.164499374572</v>
      </c>
      <c r="K20" s="6" t="n">
        <f aca="false">-(1-Supuestos!$B$7)*(K14+K15+K16)</f>
        <v>-21.1093273160953</v>
      </c>
      <c r="L20" s="6" t="n">
        <f aca="false">-(1-Supuestos!$B$7)*(L14+L15+L16)</f>
        <v>-31.9247434239733</v>
      </c>
      <c r="M20" s="6" t="n">
        <f aca="false">-(1-Supuestos!$B$7)*(M14+M15+M16)</f>
        <v>-15.5789908816005</v>
      </c>
      <c r="N20" s="6" t="n">
        <f aca="false">-(1-Supuestos!$B$7)*(N14+N15+N16)</f>
        <v>-4.66081932669385</v>
      </c>
    </row>
    <row r="21" customFormat="false" ht="15" hidden="false" customHeight="false" outlineLevel="0" collapsed="false">
      <c r="A21" s="8" t="s">
        <v>262</v>
      </c>
      <c r="B21" s="40" t="n">
        <f aca="false">B19+B20</f>
        <v>161.159271219808</v>
      </c>
      <c r="C21" s="40" t="n">
        <f aca="false">C19+C20</f>
        <v>191.837559763159</v>
      </c>
      <c r="D21" s="40" t="n">
        <f aca="false">D19+D20</f>
        <v>220.502631765115</v>
      </c>
      <c r="E21" s="40" t="n">
        <f aca="false">E19+E20</f>
        <v>95.7762610503164</v>
      </c>
      <c r="F21" s="40" t="n">
        <f aca="false">F19+F20</f>
        <v>126.454549593667</v>
      </c>
      <c r="G21" s="40" t="n">
        <f aca="false">G19+G20</f>
        <v>174.734524646471</v>
      </c>
      <c r="H21" s="40" t="n">
        <f aca="false">H19+H20</f>
        <v>35.3347823915212</v>
      </c>
      <c r="I21" s="40" t="n">
        <f aca="false">I19+I20</f>
        <v>22.3403847152458</v>
      </c>
      <c r="J21" s="40" t="n">
        <f aca="false">J19+J20</f>
        <v>48.6579974982881</v>
      </c>
      <c r="K21" s="40" t="n">
        <f aca="false">K19+K20</f>
        <v>68.4373092643813</v>
      </c>
      <c r="L21" s="40" t="n">
        <f aca="false">L19+L20</f>
        <v>111.698973695893</v>
      </c>
      <c r="M21" s="40" t="n">
        <f aca="false">M19+M20</f>
        <v>46.3159635264018</v>
      </c>
      <c r="N21" s="40" t="n">
        <f aca="false">N19+N20</f>
        <v>2.64327730677542</v>
      </c>
    </row>
    <row r="22" customFormat="false" ht="15" hidden="false" customHeight="false" outlineLevel="0" collapsed="false">
      <c r="A22" s="4" t="s">
        <v>263</v>
      </c>
      <c r="B22" s="6" t="n">
        <f aca="false">-Supuestos!$B$6*B9</f>
        <v>-65</v>
      </c>
      <c r="C22" s="6" t="n">
        <f aca="false">-Supuestos!$B$6*C9</f>
        <v>-65</v>
      </c>
      <c r="D22" s="6" t="n">
        <f aca="false">-Supuestos!$B$6*D9</f>
        <v>-65</v>
      </c>
      <c r="E22" s="6" t="n">
        <f aca="false">-Supuestos!$B$6*E9</f>
        <v>-65</v>
      </c>
      <c r="F22" s="6" t="n">
        <f aca="false">-Supuestos!$B$6*F9</f>
        <v>-65</v>
      </c>
      <c r="G22" s="6" t="n">
        <f aca="false">-Supuestos!$B$6*G9</f>
        <v>-65</v>
      </c>
      <c r="H22" s="6" t="n">
        <f aca="false">-Supuestos!$B$6*H9</f>
        <v>-65</v>
      </c>
      <c r="I22" s="6" t="n">
        <f aca="false">-Supuestos!$B$6*I9</f>
        <v>-65</v>
      </c>
      <c r="J22" s="6" t="n">
        <f aca="false">-Supuestos!$B$6*J9</f>
        <v>-65</v>
      </c>
      <c r="K22" s="6" t="n">
        <f aca="false">-Supuestos!$B$6*K9</f>
        <v>-65</v>
      </c>
      <c r="L22" s="6" t="n">
        <f aca="false">-Supuestos!$B$6*L9</f>
        <v>-0</v>
      </c>
      <c r="M22" s="6" t="n">
        <f aca="false">-Supuestos!$B$6*M9</f>
        <v>-0</v>
      </c>
      <c r="N22" s="6" t="n">
        <f aca="false">-Supuestos!$B$6*N9</f>
        <v>-0</v>
      </c>
    </row>
    <row r="23" customFormat="false" ht="15" hidden="false" customHeight="false" outlineLevel="0" collapsed="false">
      <c r="A23" s="8" t="s">
        <v>264</v>
      </c>
      <c r="B23" s="41" t="n">
        <f aca="false">B21+B22</f>
        <v>96.159271219808</v>
      </c>
      <c r="C23" s="41" t="n">
        <f aca="false">C21+C22</f>
        <v>126.837559763159</v>
      </c>
      <c r="D23" s="41" t="n">
        <f aca="false">D21+D22</f>
        <v>155.502631765115</v>
      </c>
      <c r="E23" s="41" t="n">
        <f aca="false">E21+E22</f>
        <v>30.7762610503164</v>
      </c>
      <c r="F23" s="41" t="n">
        <f aca="false">F21+F22</f>
        <v>61.4545495936674</v>
      </c>
      <c r="G23" s="41" t="n">
        <f aca="false">G21+G22</f>
        <v>109.734524646471</v>
      </c>
      <c r="H23" s="41" t="n">
        <f aca="false">H21+H22</f>
        <v>-29.6652176084788</v>
      </c>
      <c r="I23" s="41" t="n">
        <f aca="false">I21+I22</f>
        <v>-42.6596152847542</v>
      </c>
      <c r="J23" s="41" t="n">
        <f aca="false">J21+J22</f>
        <v>-16.3420025017119</v>
      </c>
      <c r="K23" s="41" t="n">
        <f aca="false">K21+K22</f>
        <v>3.43730926438133</v>
      </c>
      <c r="L23" s="41" t="n">
        <f aca="false">L21+L22</f>
        <v>111.698973695893</v>
      </c>
      <c r="M23" s="41" t="n">
        <f aca="false">M21+M22</f>
        <v>46.3159635264018</v>
      </c>
      <c r="N23" s="41" t="n">
        <f aca="false">N21+N22</f>
        <v>2.64327730677542</v>
      </c>
    </row>
    <row r="24" customFormat="false" ht="15" hidden="false" customHeight="false" outlineLevel="0" collapsed="false">
      <c r="A24" s="4" t="s">
        <v>265</v>
      </c>
      <c r="B24" s="28" t="n">
        <f aca="false">B23/B5</f>
        <v>0.321602913778622</v>
      </c>
      <c r="C24" s="28" t="n">
        <f aca="false">C23/C5</f>
        <v>0.363431403332834</v>
      </c>
      <c r="D24" s="28" t="n">
        <f aca="false">D23/D5</f>
        <v>0.389730906679487</v>
      </c>
      <c r="E24" s="28" t="n">
        <f aca="false">E23/E5</f>
        <v>0.154654578142294</v>
      </c>
      <c r="F24" s="28" t="n">
        <f aca="false">F23/F5</f>
        <v>0.246805420054889</v>
      </c>
      <c r="G24" s="28" t="n">
        <f aca="false">G23/G5</f>
        <v>0.333539588591098</v>
      </c>
      <c r="H24" s="28" t="n">
        <f aca="false">H23/H5</f>
        <v>-0.299648662711907</v>
      </c>
      <c r="I24" s="28" t="n">
        <f aca="false">I23/I5</f>
        <v>-0.430905204896507</v>
      </c>
      <c r="J24" s="28" t="n">
        <f aca="false">J23/J5</f>
        <v>-0.0912961033615189</v>
      </c>
      <c r="K24" s="28" t="n">
        <f aca="false">K23/K5</f>
        <v>0.0138044548770334</v>
      </c>
      <c r="L24" s="28" t="n">
        <f aca="false">L23/L5</f>
        <v>0.561301375356248</v>
      </c>
      <c r="M24" s="28" t="n">
        <f aca="false">M23/M5</f>
        <v>0.4678380154182</v>
      </c>
      <c r="N24" s="28" t="n">
        <f aca="false">N23/N5</f>
        <v>0.0539444348321514</v>
      </c>
    </row>
    <row r="25" customFormat="false" ht="15" hidden="false" customHeight="false" outlineLevel="0" collapsed="false">
      <c r="A25" s="4" t="s">
        <v>266</v>
      </c>
      <c r="B25" s="27" t="n">
        <f aca="false">-Supuestos!$B$38</f>
        <v>-4</v>
      </c>
      <c r="C25" s="27" t="n">
        <f aca="false">-Supuestos!$B$38</f>
        <v>-4</v>
      </c>
      <c r="D25" s="27" t="n">
        <f aca="false">-Supuestos!$B$38</f>
        <v>-4</v>
      </c>
      <c r="E25" s="27" t="n">
        <f aca="false">-Supuestos!$B$38</f>
        <v>-4</v>
      </c>
      <c r="F25" s="27" t="n">
        <f aca="false">-Supuestos!$B$38</f>
        <v>-4</v>
      </c>
      <c r="G25" s="27" t="n">
        <f aca="false">-Supuestos!$B$38</f>
        <v>-4</v>
      </c>
      <c r="H25" s="27" t="n">
        <f aca="false">-Supuestos!$B$38</f>
        <v>-4</v>
      </c>
      <c r="I25" s="27" t="n">
        <f aca="false">-Supuestos!$B$38</f>
        <v>-4</v>
      </c>
      <c r="J25" s="27" t="n">
        <f aca="false">-Supuestos!$B$38</f>
        <v>-4</v>
      </c>
      <c r="K25" s="27" t="n">
        <f aca="false">-Supuestos!$B$38</f>
        <v>-4</v>
      </c>
      <c r="L25" s="27" t="n">
        <f aca="false">-Supuestos!$B$38</f>
        <v>-4</v>
      </c>
      <c r="M25" s="27" t="n">
        <f aca="false">-Supuestos!$B$38</f>
        <v>-4</v>
      </c>
      <c r="N25" s="27" t="n">
        <f aca="false">-Supuestos!$B$38</f>
        <v>-4</v>
      </c>
    </row>
    <row r="26" customFormat="false" ht="15" hidden="false" customHeight="false" outlineLevel="0" collapsed="false">
      <c r="A26" s="8" t="s">
        <v>267</v>
      </c>
      <c r="B26" s="40" t="n">
        <f aca="false">B23+B25</f>
        <v>92.159271219808</v>
      </c>
      <c r="C26" s="40" t="n">
        <f aca="false">C23+C25</f>
        <v>122.837559763159</v>
      </c>
      <c r="D26" s="40" t="n">
        <f aca="false">D23+D25</f>
        <v>151.502631765115</v>
      </c>
      <c r="E26" s="40" t="n">
        <f aca="false">E23+E25</f>
        <v>26.7762610503164</v>
      </c>
      <c r="F26" s="40" t="n">
        <f aca="false">F23+F25</f>
        <v>57.4545495936674</v>
      </c>
      <c r="G26" s="40" t="n">
        <f aca="false">G23+G25</f>
        <v>105.734524646471</v>
      </c>
      <c r="H26" s="40" t="n">
        <f aca="false">H23+H25</f>
        <v>-33.6652176084788</v>
      </c>
      <c r="I26" s="40" t="n">
        <f aca="false">I23+I25</f>
        <v>-46.6596152847542</v>
      </c>
      <c r="J26" s="40" t="n">
        <f aca="false">J23+J25</f>
        <v>-20.3420025017119</v>
      </c>
      <c r="K26" s="40" t="n">
        <f aca="false">K23+K25</f>
        <v>-0.562690735618673</v>
      </c>
      <c r="L26" s="40" t="n">
        <f aca="false">L23+L25</f>
        <v>107.698973695893</v>
      </c>
      <c r="M26" s="40" t="n">
        <f aca="false">M23+M25</f>
        <v>42.3159635264018</v>
      </c>
      <c r="N26" s="40" t="n">
        <f aca="false">N23+N25</f>
        <v>-1.35672269322458</v>
      </c>
    </row>
    <row r="28" customFormat="false" ht="15" hidden="false" customHeight="false" outlineLevel="0" collapsed="false">
      <c r="A28" s="11" t="s">
        <v>268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customFormat="false" ht="15" hidden="false" customHeight="false" outlineLevel="0" collapsed="false">
      <c r="A29" s="4" t="s">
        <v>256</v>
      </c>
      <c r="B29" s="6" t="n">
        <f aca="false">B14</f>
        <v>253.389830508475</v>
      </c>
      <c r="C29" s="6" t="n">
        <f aca="false">C14</f>
        <v>295.762711864407</v>
      </c>
      <c r="D29" s="6" t="n">
        <f aca="false">D14</f>
        <v>338.135593220339</v>
      </c>
      <c r="E29" s="6" t="n">
        <f aca="false">E14</f>
        <v>168.64406779661</v>
      </c>
      <c r="F29" s="6" t="n">
        <f aca="false">F14</f>
        <v>211.016949152542</v>
      </c>
      <c r="G29" s="6" t="n">
        <f aca="false">G14</f>
        <v>278.813559322034</v>
      </c>
      <c r="H29" s="6" t="n">
        <f aca="false">H14</f>
        <v>83.8983050847458</v>
      </c>
      <c r="I29" s="6" t="n">
        <f aca="false">I14</f>
        <v>83.8983050847458</v>
      </c>
      <c r="J29" s="6" t="n">
        <f aca="false">J14</f>
        <v>151.694915254237</v>
      </c>
      <c r="K29" s="6" t="n">
        <f aca="false">K14</f>
        <v>211.016949152542</v>
      </c>
      <c r="L29" s="6" t="n">
        <f aca="false">L14</f>
        <v>168.64406779661</v>
      </c>
      <c r="M29" s="6" t="n">
        <f aca="false">M14</f>
        <v>83.8983050847458</v>
      </c>
      <c r="N29" s="6" t="n">
        <f aca="false">N14</f>
        <v>41.5254237288136</v>
      </c>
    </row>
    <row r="30" customFormat="false" ht="15" hidden="false" customHeight="false" outlineLevel="0" collapsed="false">
      <c r="A30" s="4" t="s">
        <v>18</v>
      </c>
      <c r="B30" s="6" t="n">
        <f aca="false">B15</f>
        <v>-22.4199114837147</v>
      </c>
      <c r="C30" s="6" t="n">
        <f aca="false">C15</f>
        <v>-24.9364321604581</v>
      </c>
      <c r="D30" s="6" t="n">
        <f aca="false">D15</f>
        <v>-29.9694735139451</v>
      </c>
      <c r="E30" s="6" t="n">
        <f aca="false">E15</f>
        <v>-22.4199114837147</v>
      </c>
      <c r="F30" s="6" t="n">
        <f aca="false">F15</f>
        <v>-24.9364321604581</v>
      </c>
      <c r="G30" s="6" t="n">
        <f aca="false">G15</f>
        <v>-29.9694735139451</v>
      </c>
      <c r="H30" s="6" t="n">
        <f aca="false">H15</f>
        <v>-16.2429970953443</v>
      </c>
      <c r="I30" s="6" t="n">
        <f aca="false">I15</f>
        <v>-32.4859941906886</v>
      </c>
      <c r="J30" s="6" t="n">
        <f aca="false">J15</f>
        <v>-64.9719883813772</v>
      </c>
      <c r="K30" s="6" t="n">
        <f aca="false">K15</f>
        <v>-97.4579825720657</v>
      </c>
      <c r="L30" s="6" t="n">
        <f aca="false">L15</f>
        <v>-2.51652067674348</v>
      </c>
      <c r="M30" s="6" t="n">
        <f aca="false">M15</f>
        <v>-2.51652067674348</v>
      </c>
      <c r="N30" s="6" t="n">
        <f aca="false">N15</f>
        <v>-16.2429970953443</v>
      </c>
    </row>
    <row r="31" customFormat="false" ht="15" hidden="false" customHeight="false" outlineLevel="0" collapsed="false">
      <c r="A31" s="4" t="s">
        <v>257</v>
      </c>
      <c r="B31" s="6" t="n">
        <f aca="false">B16</f>
        <v>-9.52083</v>
      </c>
      <c r="C31" s="6" t="n">
        <f aca="false">C16</f>
        <v>-11.02933</v>
      </c>
      <c r="D31" s="6" t="n">
        <f aca="false">D16</f>
        <v>-12.53783</v>
      </c>
      <c r="E31" s="6" t="n">
        <f aca="false">E16</f>
        <v>-6.50383</v>
      </c>
      <c r="F31" s="6" t="n">
        <f aca="false">F16</f>
        <v>-8.01233</v>
      </c>
      <c r="G31" s="6" t="n">
        <f aca="false">G16</f>
        <v>-10.42593</v>
      </c>
      <c r="H31" s="6" t="n">
        <f aca="false">H16</f>
        <v>-3.48683</v>
      </c>
      <c r="I31" s="6" t="n">
        <f aca="false">I16</f>
        <v>-3.48683</v>
      </c>
      <c r="J31" s="6" t="n">
        <f aca="false">J16</f>
        <v>-5.90043</v>
      </c>
      <c r="K31" s="6" t="n">
        <f aca="false">K16</f>
        <v>-8.01233</v>
      </c>
      <c r="L31" s="6" t="n">
        <f aca="false">L16</f>
        <v>-6.50383</v>
      </c>
      <c r="M31" s="6" t="n">
        <f aca="false">M16</f>
        <v>-3.48683</v>
      </c>
      <c r="N31" s="6" t="n">
        <f aca="false">N16</f>
        <v>-1.97833</v>
      </c>
    </row>
    <row r="32" customFormat="false" ht="15" hidden="false" customHeight="false" outlineLevel="0" collapsed="false">
      <c r="A32" s="4" t="s">
        <v>269</v>
      </c>
      <c r="B32" s="27" t="n">
        <f aca="false">-Supuestos!$B$17</f>
        <v>-5</v>
      </c>
      <c r="C32" s="27" t="n">
        <f aca="false">-Supuestos!$B$17</f>
        <v>-5</v>
      </c>
      <c r="D32" s="27" t="n">
        <f aca="false">-Supuestos!$B$17</f>
        <v>-5</v>
      </c>
      <c r="E32" s="27" t="n">
        <f aca="false">-Supuestos!$B$17</f>
        <v>-5</v>
      </c>
      <c r="F32" s="27" t="n">
        <f aca="false">-Supuestos!$B$17</f>
        <v>-5</v>
      </c>
      <c r="G32" s="27" t="n">
        <f aca="false">-Supuestos!$B$17</f>
        <v>-5</v>
      </c>
      <c r="H32" s="27" t="n">
        <f aca="false">-Supuestos!$B$17</f>
        <v>-5</v>
      </c>
      <c r="I32" s="27" t="n">
        <f aca="false">-Supuestos!$B$17</f>
        <v>-5</v>
      </c>
      <c r="J32" s="27" t="n">
        <f aca="false">-Supuestos!$B$17</f>
        <v>-5</v>
      </c>
      <c r="K32" s="27" t="n">
        <f aca="false">-Supuestos!$B$17</f>
        <v>-5</v>
      </c>
      <c r="L32" s="27" t="n">
        <f aca="false">-Supuestos!$B$17</f>
        <v>-5</v>
      </c>
      <c r="M32" s="27" t="n">
        <f aca="false">-Supuestos!$B$17</f>
        <v>-5</v>
      </c>
      <c r="N32" s="27" t="n">
        <f aca="false">-Supuestos!$B$17</f>
        <v>-5</v>
      </c>
    </row>
    <row r="33" customFormat="false" ht="15" hidden="false" customHeight="false" outlineLevel="0" collapsed="false">
      <c r="A33" s="4" t="s">
        <v>270</v>
      </c>
      <c r="B33" s="6" t="n">
        <f aca="false">-(1-Supuestos!$B$20)*Supuestos!$B$19</f>
        <v>-0</v>
      </c>
      <c r="C33" s="6" t="n">
        <f aca="false">-(1-Supuestos!$B$20)*Supuestos!$B$19</f>
        <v>-0</v>
      </c>
      <c r="D33" s="6" t="n">
        <f aca="false">-(1-Supuestos!$B$20)*Supuestos!$B$19</f>
        <v>-0</v>
      </c>
      <c r="E33" s="6" t="n">
        <f aca="false">-(1-Supuestos!$B$20)*Supuestos!$B$19</f>
        <v>-0</v>
      </c>
      <c r="F33" s="6" t="n">
        <f aca="false">-(1-Supuestos!$B$20)*Supuestos!$B$19</f>
        <v>-0</v>
      </c>
      <c r="G33" s="6" t="n">
        <f aca="false">-(1-Supuestos!$B$20)*Supuestos!$B$19</f>
        <v>-0</v>
      </c>
      <c r="H33" s="6" t="n">
        <f aca="false">-(1-Supuestos!$B$20)*Supuestos!$B$19</f>
        <v>-0</v>
      </c>
      <c r="I33" s="6" t="n">
        <f aca="false">-(1-Supuestos!$B$20)*Supuestos!$B$19</f>
        <v>-0</v>
      </c>
      <c r="J33" s="6" t="n">
        <f aca="false">-(1-Supuestos!$B$20)*Supuestos!$B$19</f>
        <v>-0</v>
      </c>
      <c r="K33" s="6" t="n">
        <f aca="false">-(1-Supuestos!$B$20)*Supuestos!$B$19</f>
        <v>-0</v>
      </c>
      <c r="L33" s="6" t="n">
        <f aca="false">-(1-Supuestos!$B$20)*Supuestos!$B$19</f>
        <v>-0</v>
      </c>
      <c r="M33" s="6" t="n">
        <f aca="false">-(1-Supuestos!$B$20)*Supuestos!$B$19</f>
        <v>-0</v>
      </c>
      <c r="N33" s="6" t="n">
        <f aca="false">-(1-Supuestos!$B$20)*Supuestos!$B$19</f>
        <v>-0</v>
      </c>
    </row>
    <row r="34" customFormat="false" ht="15" hidden="false" customHeight="false" outlineLevel="0" collapsed="false">
      <c r="A34" s="8" t="s">
        <v>260</v>
      </c>
      <c r="B34" s="40" t="n">
        <f aca="false">SUM(B29:B33)</f>
        <v>216.44908902476</v>
      </c>
      <c r="C34" s="40" t="n">
        <f aca="false">SUM(C29:C33)</f>
        <v>254.796949703949</v>
      </c>
      <c r="D34" s="40" t="n">
        <f aca="false">SUM(D29:D33)</f>
        <v>290.628289706394</v>
      </c>
      <c r="E34" s="40" t="n">
        <f aca="false">SUM(E29:E33)</f>
        <v>134.720326312896</v>
      </c>
      <c r="F34" s="40" t="n">
        <f aca="false">SUM(F29:F33)</f>
        <v>173.068186992084</v>
      </c>
      <c r="G34" s="40" t="n">
        <f aca="false">SUM(G29:G33)</f>
        <v>233.418155808089</v>
      </c>
      <c r="H34" s="40" t="n">
        <f aca="false">SUM(H29:H33)</f>
        <v>59.1684779894015</v>
      </c>
      <c r="I34" s="40" t="n">
        <f aca="false">SUM(I29:I33)</f>
        <v>42.9254808940572</v>
      </c>
      <c r="J34" s="40" t="n">
        <f aca="false">SUM(J29:J33)</f>
        <v>75.8224968728601</v>
      </c>
      <c r="K34" s="40" t="n">
        <f aca="false">SUM(K29:K33)</f>
        <v>100.546636580477</v>
      </c>
      <c r="L34" s="40" t="n">
        <f aca="false">SUM(L29:L33)</f>
        <v>154.623717119867</v>
      </c>
      <c r="M34" s="40" t="n">
        <f aca="false">SUM(M29:M33)</f>
        <v>72.8949544080023</v>
      </c>
      <c r="N34" s="40" t="n">
        <f aca="false">SUM(N29:N33)</f>
        <v>18.3040966334693</v>
      </c>
    </row>
    <row r="35" customFormat="false" ht="15" hidden="false" customHeight="false" outlineLevel="0" collapsed="false">
      <c r="A35" s="4" t="s">
        <v>261</v>
      </c>
      <c r="B35" s="6" t="n">
        <f aca="false">-(1-Supuestos!$B$8)*(B29+B30+B31)</f>
        <v>-0</v>
      </c>
      <c r="C35" s="6" t="n">
        <f aca="false">-(1-Supuestos!$B$8)*(C29+C30+C31)</f>
        <v>-0</v>
      </c>
      <c r="D35" s="6" t="n">
        <f aca="false">-(1-Supuestos!$B$8)*(D29+D30+D31)</f>
        <v>-0</v>
      </c>
      <c r="E35" s="6" t="n">
        <f aca="false">-(1-Supuestos!$B$8)*(E29+E30+E31)</f>
        <v>-0</v>
      </c>
      <c r="F35" s="6" t="n">
        <f aca="false">-(1-Supuestos!$B$8)*(F29+F30+F31)</f>
        <v>-0</v>
      </c>
      <c r="G35" s="6" t="n">
        <f aca="false">-(1-Supuestos!$B$8)*(G29+G30+G31)</f>
        <v>-0</v>
      </c>
      <c r="H35" s="6" t="n">
        <f aca="false">-(1-Supuestos!$B$8)*(H29+H30+H31)</f>
        <v>-0</v>
      </c>
      <c r="I35" s="6" t="n">
        <f aca="false">-(1-Supuestos!$B$8)*(I29+I30+I31)</f>
        <v>-0</v>
      </c>
      <c r="J35" s="6" t="n">
        <f aca="false">-(1-Supuestos!$B$8)*(J29+J30+J31)</f>
        <v>-0</v>
      </c>
      <c r="K35" s="6" t="n">
        <f aca="false">-(1-Supuestos!$B$8)*(K29+K30+K31)</f>
        <v>-0</v>
      </c>
      <c r="L35" s="6" t="n">
        <f aca="false">-(1-Supuestos!$B$8)*(L29+L30+L31)</f>
        <v>-0</v>
      </c>
      <c r="M35" s="6" t="n">
        <f aca="false">-(1-Supuestos!$B$8)*(M29+M30+M31)</f>
        <v>-0</v>
      </c>
      <c r="N35" s="6" t="n">
        <f aca="false">-(1-Supuestos!$B$8)*(N29+N30+N31)</f>
        <v>-0</v>
      </c>
    </row>
    <row r="36" customFormat="false" ht="15" hidden="false" customHeight="false" outlineLevel="0" collapsed="false">
      <c r="A36" s="8" t="s">
        <v>262</v>
      </c>
      <c r="B36" s="40" t="n">
        <f aca="false">B34+B35</f>
        <v>216.44908902476</v>
      </c>
      <c r="C36" s="40" t="n">
        <f aca="false">C34+C35</f>
        <v>254.796949703949</v>
      </c>
      <c r="D36" s="40" t="n">
        <f aca="false">D34+D35</f>
        <v>290.628289706394</v>
      </c>
      <c r="E36" s="40" t="n">
        <f aca="false">E34+E35</f>
        <v>134.720326312896</v>
      </c>
      <c r="F36" s="40" t="n">
        <f aca="false">F34+F35</f>
        <v>173.068186992084</v>
      </c>
      <c r="G36" s="40" t="n">
        <f aca="false">G34+G35</f>
        <v>233.418155808089</v>
      </c>
      <c r="H36" s="40" t="n">
        <f aca="false">H34+H35</f>
        <v>59.1684779894015</v>
      </c>
      <c r="I36" s="40" t="n">
        <f aca="false">I34+I35</f>
        <v>42.9254808940572</v>
      </c>
      <c r="J36" s="40" t="n">
        <f aca="false">J34+J35</f>
        <v>75.8224968728601</v>
      </c>
      <c r="K36" s="40" t="n">
        <f aca="false">K34+K35</f>
        <v>100.546636580477</v>
      </c>
      <c r="L36" s="40" t="n">
        <f aca="false">L34+L35</f>
        <v>154.623717119867</v>
      </c>
      <c r="M36" s="40" t="n">
        <f aca="false">M34+M35</f>
        <v>72.8949544080023</v>
      </c>
      <c r="N36" s="40" t="n">
        <f aca="false">N34+N35</f>
        <v>18.3040966334693</v>
      </c>
    </row>
    <row r="37" customFormat="false" ht="15" hidden="false" customHeight="false" outlineLevel="0" collapsed="false">
      <c r="A37" s="4" t="s">
        <v>263</v>
      </c>
      <c r="B37" s="6" t="n">
        <f aca="false">B22</f>
        <v>-65</v>
      </c>
      <c r="C37" s="6" t="n">
        <f aca="false">C22</f>
        <v>-65</v>
      </c>
      <c r="D37" s="6" t="n">
        <f aca="false">D22</f>
        <v>-65</v>
      </c>
      <c r="E37" s="6" t="n">
        <f aca="false">E22</f>
        <v>-65</v>
      </c>
      <c r="F37" s="6" t="n">
        <f aca="false">F22</f>
        <v>-65</v>
      </c>
      <c r="G37" s="6" t="n">
        <f aca="false">G22</f>
        <v>-65</v>
      </c>
      <c r="H37" s="6" t="n">
        <f aca="false">H22</f>
        <v>-65</v>
      </c>
      <c r="I37" s="6" t="n">
        <f aca="false">I22</f>
        <v>-65</v>
      </c>
      <c r="J37" s="6" t="n">
        <f aca="false">J22</f>
        <v>-65</v>
      </c>
      <c r="K37" s="6" t="n">
        <f aca="false">K22</f>
        <v>-65</v>
      </c>
      <c r="L37" s="6" t="n">
        <f aca="false">L22</f>
        <v>-0</v>
      </c>
      <c r="M37" s="6" t="n">
        <f aca="false">M22</f>
        <v>-0</v>
      </c>
      <c r="N37" s="6" t="n">
        <f aca="false">N22</f>
        <v>-0</v>
      </c>
    </row>
    <row r="38" customFormat="false" ht="15" hidden="false" customHeight="false" outlineLevel="0" collapsed="false">
      <c r="A38" s="8" t="s">
        <v>264</v>
      </c>
      <c r="B38" s="41" t="n">
        <f aca="false">B36+B37</f>
        <v>151.44908902476</v>
      </c>
      <c r="C38" s="41" t="n">
        <f aca="false">C36+C37</f>
        <v>189.796949703949</v>
      </c>
      <c r="D38" s="41" t="n">
        <f aca="false">D36+D37</f>
        <v>225.628289706394</v>
      </c>
      <c r="E38" s="41" t="n">
        <f aca="false">E36+E37</f>
        <v>69.7203263128955</v>
      </c>
      <c r="F38" s="41" t="n">
        <f aca="false">F36+F37</f>
        <v>108.068186992084</v>
      </c>
      <c r="G38" s="41" t="n">
        <f aca="false">G36+G37</f>
        <v>168.418155808089</v>
      </c>
      <c r="H38" s="41" t="n">
        <f aca="false">H36+H37</f>
        <v>-5.83152201059852</v>
      </c>
      <c r="I38" s="41" t="n">
        <f aca="false">I36+I37</f>
        <v>-22.0745191059428</v>
      </c>
      <c r="J38" s="41" t="n">
        <f aca="false">J36+J37</f>
        <v>10.8224968728601</v>
      </c>
      <c r="K38" s="41" t="n">
        <f aca="false">K36+K37</f>
        <v>35.5466365804767</v>
      </c>
      <c r="L38" s="41" t="n">
        <f aca="false">L36+L37</f>
        <v>154.623717119867</v>
      </c>
      <c r="M38" s="41" t="n">
        <f aca="false">M36+M37</f>
        <v>72.8949544080023</v>
      </c>
      <c r="N38" s="41" t="n">
        <f aca="false">N36+N37</f>
        <v>18.3040966334693</v>
      </c>
    </row>
    <row r="39" customFormat="false" ht="15" hidden="false" customHeight="false" outlineLevel="0" collapsed="false">
      <c r="A39" s="4" t="s">
        <v>265</v>
      </c>
      <c r="B39" s="28" t="n">
        <f aca="false">B38/B5</f>
        <v>0.506518692390502</v>
      </c>
      <c r="C39" s="28" t="n">
        <f aca="false">C38/C5</f>
        <v>0.543830801443979</v>
      </c>
      <c r="D39" s="28" t="n">
        <f aca="false">D38/D5</f>
        <v>0.565484435354371</v>
      </c>
      <c r="E39" s="28" t="n">
        <f aca="false">E38/E5</f>
        <v>0.350353398557264</v>
      </c>
      <c r="F39" s="28" t="n">
        <f aca="false">F38/F5</f>
        <v>0.43400878310074</v>
      </c>
      <c r="G39" s="28" t="n">
        <f aca="false">G38/G5</f>
        <v>0.511909288170483</v>
      </c>
      <c r="H39" s="28" t="n">
        <f aca="false">H38/H5</f>
        <v>-0.0589042627333184</v>
      </c>
      <c r="I39" s="28" t="n">
        <f aca="false">I38/I5</f>
        <v>-0.222974940464069</v>
      </c>
      <c r="J39" s="28" t="n">
        <f aca="false">J38/J5</f>
        <v>0.0604608763846935</v>
      </c>
      <c r="K39" s="28" t="n">
        <f aca="false">K38/K5</f>
        <v>0.14275757662842</v>
      </c>
      <c r="L39" s="28" t="n">
        <f aca="false">L38/L5</f>
        <v>0.777003603617421</v>
      </c>
      <c r="M39" s="28" t="n">
        <f aca="false">M38/M5</f>
        <v>0.736312670787902</v>
      </c>
      <c r="N39" s="28" t="n">
        <f aca="false">N38/N5</f>
        <v>0.373552992519781</v>
      </c>
    </row>
    <row r="41" customFormat="false" ht="15" hidden="false" customHeight="false" outlineLevel="0" collapsed="false">
      <c r="A41" s="2" t="s">
        <v>271</v>
      </c>
    </row>
    <row r="42" customFormat="false" ht="15" hidden="false" customHeight="false" outlineLevel="0" collapsed="false">
      <c r="A42" s="2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273</v>
      </c>
    </row>
    <row r="2" customFormat="false" ht="15" hidden="false" customHeight="false" outlineLevel="0" collapsed="false">
      <c r="A2" s="2" t="s">
        <v>274</v>
      </c>
    </row>
    <row r="4" customFormat="false" ht="30" hidden="false" customHeight="true" outlineLevel="0" collapsed="false">
      <c r="A4" s="13" t="s">
        <v>18</v>
      </c>
      <c r="B4" s="13" t="s">
        <v>275</v>
      </c>
      <c r="C4" s="13" t="s">
        <v>276</v>
      </c>
      <c r="D4" s="13" t="s">
        <v>277</v>
      </c>
      <c r="E4" s="13" t="s">
        <v>278</v>
      </c>
      <c r="F4" s="13" t="s">
        <v>279</v>
      </c>
      <c r="G4" s="13" t="s">
        <v>280</v>
      </c>
    </row>
    <row r="5" customFormat="false" ht="15" hidden="false" customHeight="false" outlineLevel="0" collapsed="false">
      <c r="A5" s="4" t="s">
        <v>281</v>
      </c>
      <c r="B5" s="15" t="n">
        <v>804</v>
      </c>
      <c r="C5" s="33" t="n">
        <v>9.5</v>
      </c>
      <c r="D5" s="37" t="n">
        <f aca="false">B5*C5</f>
        <v>7638</v>
      </c>
      <c r="E5" s="32" t="n">
        <v>19.4313735</v>
      </c>
      <c r="F5" s="28" t="n">
        <f aca="false">E5/$E$9</f>
        <v>0.358710974709249</v>
      </c>
      <c r="G5" s="28" t="n">
        <f aca="false">D5/$D$9</f>
        <v>0.241083264945395</v>
      </c>
    </row>
    <row r="6" customFormat="false" ht="15" hidden="false" customHeight="false" outlineLevel="0" collapsed="false">
      <c r="A6" s="4" t="s">
        <v>282</v>
      </c>
      <c r="B6" s="15" t="n">
        <v>804</v>
      </c>
      <c r="C6" s="33" t="n">
        <v>7</v>
      </c>
      <c r="D6" s="37" t="n">
        <f aca="false">B6*C6</f>
        <v>5628</v>
      </c>
      <c r="E6" s="32" t="n">
        <v>20.848256</v>
      </c>
      <c r="F6" s="28" t="n">
        <f aca="false">E6/$E$9</f>
        <v>0.38486719586487</v>
      </c>
      <c r="G6" s="28" t="n">
        <f aca="false">D6/$D$9</f>
        <v>0.17764030048608</v>
      </c>
    </row>
    <row r="7" customFormat="false" ht="15" hidden="false" customHeight="false" outlineLevel="0" collapsed="false">
      <c r="A7" s="4" t="s">
        <v>283</v>
      </c>
      <c r="B7" s="15" t="n">
        <v>840</v>
      </c>
      <c r="C7" s="33" t="n">
        <v>2.1</v>
      </c>
      <c r="D7" s="37" t="n">
        <f aca="false">B7*C7</f>
        <v>1764</v>
      </c>
      <c r="E7" s="32" t="n">
        <v>5.05</v>
      </c>
      <c r="F7" s="28" t="n">
        <f aca="false">E7/$E$9</f>
        <v>0.0932250323057043</v>
      </c>
      <c r="G7" s="28" t="n">
        <f aca="false">D7/$D$9</f>
        <v>0.0556783031374282</v>
      </c>
    </row>
    <row r="8" customFormat="false" ht="15" hidden="false" customHeight="false" outlineLevel="0" collapsed="false">
      <c r="A8" s="4" t="s">
        <v>284</v>
      </c>
      <c r="B8" s="15" t="n">
        <v>100</v>
      </c>
      <c r="C8" s="37" t="n">
        <f aca="false">D8/B8</f>
        <v>166.52</v>
      </c>
      <c r="D8" s="37" t="n">
        <f aca="false">D17</f>
        <v>16652</v>
      </c>
      <c r="E8" s="42" t="n">
        <f aca="false">B20-SUM(E5:E7)</f>
        <v>8.84037050000001</v>
      </c>
      <c r="F8" s="28" t="n">
        <f aca="false">E8/$E$9</f>
        <v>0.163196797120177</v>
      </c>
      <c r="G8" s="28" t="n">
        <f aca="false">D8/$D$9</f>
        <v>0.525598131431097</v>
      </c>
    </row>
    <row r="9" customFormat="false" ht="15" hidden="false" customHeight="false" outlineLevel="0" collapsed="false">
      <c r="A9" s="8" t="s">
        <v>285</v>
      </c>
      <c r="D9" s="43" t="n">
        <f aca="false">SUM(D5:D8)</f>
        <v>31682</v>
      </c>
      <c r="E9" s="44" t="n">
        <f aca="false">SUM(E5:E8)</f>
        <v>54.17</v>
      </c>
    </row>
    <row r="10" customFormat="false" ht="15" hidden="false" customHeight="false" outlineLevel="0" collapsed="false">
      <c r="A10" s="2" t="s">
        <v>286</v>
      </c>
    </row>
    <row r="11" customFormat="false" ht="15" hidden="false" customHeight="false" outlineLevel="0" collapsed="false">
      <c r="A11" s="11" t="s">
        <v>287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13" t="s">
        <v>288</v>
      </c>
      <c r="B12" s="13" t="s">
        <v>289</v>
      </c>
      <c r="C12" s="13" t="s">
        <v>290</v>
      </c>
      <c r="D12" s="13" t="s">
        <v>291</v>
      </c>
    </row>
    <row r="13" customFormat="false" ht="15" hidden="false" customHeight="false" outlineLevel="0" collapsed="false">
      <c r="A13" s="4" t="s">
        <v>292</v>
      </c>
      <c r="B13" s="15" t="n">
        <v>100</v>
      </c>
      <c r="C13" s="33" t="n">
        <v>162</v>
      </c>
      <c r="D13" s="37" t="n">
        <f aca="false">B13*C13</f>
        <v>16200</v>
      </c>
    </row>
    <row r="14" customFormat="false" ht="15" hidden="false" customHeight="false" outlineLevel="0" collapsed="false">
      <c r="A14" s="4" t="s">
        <v>293</v>
      </c>
      <c r="B14" s="15" t="n">
        <v>10</v>
      </c>
      <c r="C14" s="33" t="n">
        <v>20</v>
      </c>
      <c r="D14" s="37" t="n">
        <f aca="false">B14*C14</f>
        <v>200</v>
      </c>
    </row>
    <row r="15" customFormat="false" ht="15" hidden="false" customHeight="false" outlineLevel="0" collapsed="false">
      <c r="A15" s="4" t="s">
        <v>294</v>
      </c>
      <c r="B15" s="15" t="n">
        <v>10</v>
      </c>
      <c r="C15" s="33" t="n">
        <v>10</v>
      </c>
      <c r="D15" s="37" t="n">
        <f aca="false">B15*C15</f>
        <v>100</v>
      </c>
    </row>
    <row r="16" customFormat="false" ht="15" hidden="false" customHeight="false" outlineLevel="0" collapsed="false">
      <c r="A16" s="4" t="s">
        <v>295</v>
      </c>
      <c r="B16" s="15" t="n">
        <v>1</v>
      </c>
      <c r="C16" s="33" t="n">
        <v>152</v>
      </c>
      <c r="D16" s="37" t="n">
        <f aca="false">B16*C16</f>
        <v>152</v>
      </c>
    </row>
    <row r="17" customFormat="false" ht="15" hidden="false" customHeight="false" outlineLevel="0" collapsed="false">
      <c r="A17" s="8" t="s">
        <v>296</v>
      </c>
      <c r="D17" s="43" t="n">
        <f aca="false">SUM(D13:D16)</f>
        <v>16652</v>
      </c>
    </row>
    <row r="19" customFormat="false" ht="15" hidden="false" customHeight="false" outlineLevel="0" collapsed="false">
      <c r="A19" s="11" t="s">
        <v>297</v>
      </c>
      <c r="B19" s="12"/>
      <c r="C19" s="12"/>
      <c r="D19" s="12"/>
      <c r="E19" s="12"/>
      <c r="F19" s="12"/>
      <c r="G19" s="12"/>
    </row>
    <row r="20" customFormat="false" ht="15" hidden="false" customHeight="false" outlineLevel="0" collapsed="false">
      <c r="A20" s="4" t="s">
        <v>298</v>
      </c>
      <c r="B20" s="45" t="n">
        <v>54.17</v>
      </c>
    </row>
    <row r="21" customFormat="false" ht="15" hidden="false" customHeight="false" outlineLevel="0" collapsed="false">
      <c r="A21" s="4" t="s">
        <v>299</v>
      </c>
      <c r="B21" s="33" t="n">
        <v>6580</v>
      </c>
    </row>
    <row r="22" customFormat="false" ht="15" hidden="false" customHeight="false" outlineLevel="0" collapsed="false">
      <c r="A22" s="4" t="s">
        <v>300</v>
      </c>
      <c r="B22" s="33" t="n">
        <v>720</v>
      </c>
    </row>
    <row r="23" customFormat="false" ht="15" hidden="false" customHeight="false" outlineLevel="0" collapsed="false">
      <c r="A23" s="4" t="s">
        <v>301</v>
      </c>
      <c r="B23" s="33" t="n">
        <v>6</v>
      </c>
    </row>
    <row r="24" customFormat="false" ht="15" hidden="false" customHeight="false" outlineLevel="0" collapsed="false">
      <c r="A24" s="4" t="s">
        <v>302</v>
      </c>
      <c r="B24" s="33" t="n">
        <v>80</v>
      </c>
    </row>
    <row r="25" customFormat="false" ht="15" hidden="false" customHeight="false" outlineLevel="0" collapsed="false">
      <c r="A25" s="8" t="s">
        <v>303</v>
      </c>
      <c r="B25" s="43" t="n">
        <f aca="false">SUM(B21:B24)</f>
        <v>7386</v>
      </c>
    </row>
    <row r="26" customFormat="false" ht="15" hidden="false" customHeight="false" outlineLevel="0" collapsed="false">
      <c r="A26" s="4" t="s">
        <v>304</v>
      </c>
      <c r="B26" s="33" t="n">
        <v>160</v>
      </c>
    </row>
    <row r="27" customFormat="false" ht="15" hidden="false" customHeight="false" outlineLevel="0" collapsed="false">
      <c r="A27" s="4" t="s">
        <v>305</v>
      </c>
      <c r="B27" s="33" t="n">
        <v>40</v>
      </c>
    </row>
    <row r="28" customFormat="false" ht="15" hidden="false" customHeight="false" outlineLevel="0" collapsed="false">
      <c r="A28" s="4" t="s">
        <v>306</v>
      </c>
      <c r="B28" s="23" t="n">
        <v>606.21</v>
      </c>
      <c r="C28" s="2" t="s">
        <v>307</v>
      </c>
    </row>
    <row r="29" customFormat="false" ht="15" hidden="false" customHeight="false" outlineLevel="0" collapsed="false">
      <c r="A29" s="4" t="s">
        <v>308</v>
      </c>
      <c r="B29" s="46" t="n">
        <v>0.01</v>
      </c>
      <c r="C29" s="2" t="s">
        <v>309</v>
      </c>
    </row>
    <row r="31" customFormat="false" ht="15" hidden="false" customHeight="false" outlineLevel="0" collapsed="false">
      <c r="A31" s="11" t="s">
        <v>310</v>
      </c>
      <c r="B31" s="12"/>
      <c r="C31" s="12"/>
      <c r="D31" s="12"/>
      <c r="E31" s="12"/>
      <c r="F31" s="12"/>
      <c r="G31" s="12"/>
    </row>
    <row r="32" customFormat="false" ht="15" hidden="false" customHeight="false" outlineLevel="0" collapsed="false">
      <c r="A32" s="4" t="s">
        <v>311</v>
      </c>
      <c r="B32" s="33" t="n">
        <v>8189.581</v>
      </c>
    </row>
    <row r="33" customFormat="false" ht="15" hidden="false" customHeight="false" outlineLevel="0" collapsed="false">
      <c r="A33" s="4" t="s">
        <v>312</v>
      </c>
      <c r="B33" s="32" t="n">
        <v>3.444</v>
      </c>
    </row>
    <row r="34" customFormat="false" ht="15" hidden="false" customHeight="false" outlineLevel="0" collapsed="false">
      <c r="A34" s="4" t="s">
        <v>313</v>
      </c>
      <c r="B34" s="33" t="n">
        <v>4370</v>
      </c>
    </row>
    <row r="35" customFormat="false" ht="15" hidden="false" customHeight="false" outlineLevel="0" collapsed="false">
      <c r="A35" s="4" t="s">
        <v>314</v>
      </c>
      <c r="B35" s="33" t="n">
        <v>706</v>
      </c>
    </row>
    <row r="36" customFormat="false" ht="15" hidden="false" customHeight="false" outlineLevel="0" collapsed="false">
      <c r="A36" s="4" t="s">
        <v>315</v>
      </c>
      <c r="B36" s="33" t="n">
        <v>885</v>
      </c>
    </row>
    <row r="37" customFormat="false" ht="15" hidden="false" customHeight="false" outlineLevel="0" collapsed="false">
      <c r="A37" s="4" t="s">
        <v>316</v>
      </c>
      <c r="B37" s="36" t="n">
        <f aca="false">(B34+B35)/(B32*B33)</f>
        <v>0.179968620594731</v>
      </c>
    </row>
    <row r="38" customFormat="false" ht="15" hidden="false" customHeight="false" outlineLevel="0" collapsed="false">
      <c r="A38" s="4" t="s">
        <v>317</v>
      </c>
      <c r="B38" s="36" t="n">
        <f aca="false">B36/(B32*B33)</f>
        <v>0.0313775077278047</v>
      </c>
    </row>
    <row r="39" customFormat="false" ht="15" hidden="false" customHeight="false" outlineLevel="0" collapsed="false">
      <c r="A39" s="4" t="s">
        <v>318</v>
      </c>
      <c r="B39" s="46" t="n">
        <v>0</v>
      </c>
      <c r="C39" s="2" t="s">
        <v>319</v>
      </c>
    </row>
    <row r="41" customFormat="false" ht="15" hidden="false" customHeight="false" outlineLevel="0" collapsed="false">
      <c r="A41" s="11" t="s">
        <v>320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4" t="s">
        <v>321</v>
      </c>
      <c r="B42" s="23" t="n">
        <v>1500</v>
      </c>
      <c r="C42" s="2" t="s">
        <v>322</v>
      </c>
    </row>
    <row r="43" customFormat="false" ht="15" hidden="false" customHeight="false" outlineLevel="0" collapsed="false">
      <c r="A43" s="4" t="s">
        <v>323</v>
      </c>
      <c r="B43" s="23" t="n">
        <v>100</v>
      </c>
      <c r="C43" s="2" t="s">
        <v>324</v>
      </c>
    </row>
    <row r="44" customFormat="false" ht="15" hidden="false" customHeight="false" outlineLevel="0" collapsed="false">
      <c r="A44" s="4" t="s">
        <v>325</v>
      </c>
      <c r="B44" s="23" t="n">
        <v>100</v>
      </c>
      <c r="C44" s="2" t="s">
        <v>324</v>
      </c>
    </row>
    <row r="45" customFormat="false" ht="15" hidden="false" customHeight="false" outlineLevel="0" collapsed="false">
      <c r="A45" s="4" t="s">
        <v>326</v>
      </c>
      <c r="B45" s="23" t="n">
        <v>2000</v>
      </c>
      <c r="C45" s="2" t="s">
        <v>327</v>
      </c>
    </row>
    <row r="46" customFormat="false" ht="15" hidden="false" customHeight="false" outlineLevel="0" collapsed="false">
      <c r="A46" s="4" t="s">
        <v>328</v>
      </c>
      <c r="B46" s="17" t="n">
        <f aca="false">SUM(B42:B45)*Supuestos!B4</f>
        <v>666</v>
      </c>
    </row>
    <row r="48" customFormat="false" ht="15" hidden="false" customHeight="false" outlineLevel="0" collapsed="false">
      <c r="A48" s="11" t="s">
        <v>329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4" t="s">
        <v>189</v>
      </c>
      <c r="B49" s="25" t="n">
        <f aca="false">Supuestos!B5</f>
        <v>3.5</v>
      </c>
    </row>
    <row r="50" customFormat="false" ht="15" hidden="false" customHeight="false" outlineLevel="0" collapsed="false">
      <c r="A50" s="4" t="s">
        <v>277</v>
      </c>
      <c r="B50" s="37" t="n">
        <f aca="false">D9</f>
        <v>31682</v>
      </c>
    </row>
    <row r="51" customFormat="false" ht="15" hidden="false" customHeight="false" outlineLevel="0" collapsed="false">
      <c r="A51" s="4" t="s">
        <v>330</v>
      </c>
      <c r="B51" s="37" t="n">
        <f aca="false">D9*B29</f>
        <v>316.82</v>
      </c>
    </row>
    <row r="52" customFormat="false" ht="15" hidden="false" customHeight="false" outlineLevel="0" collapsed="false">
      <c r="A52" s="4" t="s">
        <v>331</v>
      </c>
      <c r="B52" s="37" t="n">
        <f aca="false">B50+B25+B51</f>
        <v>39384.82</v>
      </c>
    </row>
    <row r="53" customFormat="false" ht="15" hidden="false" customHeight="false" outlineLevel="0" collapsed="false">
      <c r="A53" s="4" t="s">
        <v>332</v>
      </c>
      <c r="B53" s="6" t="n">
        <f aca="false">B52*B49</f>
        <v>137846.87</v>
      </c>
    </row>
    <row r="54" customFormat="false" ht="15" hidden="false" customHeight="false" outlineLevel="0" collapsed="false">
      <c r="A54" s="4" t="s">
        <v>333</v>
      </c>
      <c r="B54" s="6" t="n">
        <f aca="false">B53*B39</f>
        <v>0</v>
      </c>
    </row>
    <row r="55" customFormat="false" ht="15" hidden="false" customHeight="false" outlineLevel="0" collapsed="false">
      <c r="A55" s="4" t="s">
        <v>334</v>
      </c>
      <c r="B55" s="6" t="n">
        <f aca="false">(B53+B54)*B37</f>
        <v>24808.1110472012</v>
      </c>
    </row>
    <row r="56" customFormat="false" ht="15" hidden="false" customHeight="false" outlineLevel="0" collapsed="false">
      <c r="A56" s="4" t="s">
        <v>335</v>
      </c>
      <c r="B56" s="6" t="n">
        <f aca="false">B53*B38</f>
        <v>4325.29122867869</v>
      </c>
    </row>
    <row r="57" customFormat="false" ht="15" hidden="false" customHeight="false" outlineLevel="0" collapsed="false">
      <c r="A57" s="8" t="s">
        <v>336</v>
      </c>
      <c r="B57" s="40" t="n">
        <f aca="false">SUM(B54:B56)</f>
        <v>29133.4022758799</v>
      </c>
    </row>
    <row r="58" customFormat="false" ht="15" hidden="false" customHeight="false" outlineLevel="0" collapsed="false">
      <c r="A58" s="4" t="s">
        <v>337</v>
      </c>
      <c r="B58" s="6" t="n">
        <f aca="false">B50*B49</f>
        <v>110887</v>
      </c>
    </row>
    <row r="59" customFormat="false" ht="15" hidden="false" customHeight="false" outlineLevel="0" collapsed="false">
      <c r="A59" s="4" t="s">
        <v>338</v>
      </c>
      <c r="B59" s="6" t="n">
        <f aca="false">B25*B49</f>
        <v>25851</v>
      </c>
    </row>
    <row r="60" customFormat="false" ht="15" hidden="false" customHeight="false" outlineLevel="0" collapsed="false">
      <c r="A60" s="4" t="s">
        <v>339</v>
      </c>
      <c r="B60" s="6" t="n">
        <f aca="false">(B26+B27)*(1+Supuestos!B4)*B49</f>
        <v>826</v>
      </c>
    </row>
    <row r="61" customFormat="false" ht="15" hidden="false" customHeight="false" outlineLevel="0" collapsed="false">
      <c r="A61" s="4" t="s">
        <v>340</v>
      </c>
      <c r="B61" s="6" t="n">
        <f aca="false">B28*B49</f>
        <v>2121.735</v>
      </c>
    </row>
    <row r="62" customFormat="false" ht="15" hidden="false" customHeight="false" outlineLevel="0" collapsed="false">
      <c r="A62" s="4" t="s">
        <v>341</v>
      </c>
      <c r="B62" s="6" t="n">
        <f aca="false">SUM(B42:B45)+B46</f>
        <v>4366</v>
      </c>
    </row>
    <row r="63" customFormat="false" ht="15" hidden="false" customHeight="false" outlineLevel="0" collapsed="false">
      <c r="A63" s="8" t="s">
        <v>342</v>
      </c>
      <c r="B63" s="40" t="n">
        <f aca="false">B58+B59+B60+B61+B57+B62</f>
        <v>173185.13727588</v>
      </c>
    </row>
    <row r="64" customFormat="false" ht="15" hidden="false" customHeight="false" outlineLevel="0" collapsed="false">
      <c r="A64" s="4" t="s">
        <v>343</v>
      </c>
      <c r="B64" s="27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8" t="s">
        <v>344</v>
      </c>
      <c r="B65" s="41" t="n">
        <f aca="false">B63-B64</f>
        <v>142936.080508475</v>
      </c>
    </row>
    <row r="66" customFormat="false" ht="15" hidden="false" customHeight="false" outlineLevel="0" collapsed="false">
      <c r="A66" s="4" t="s">
        <v>345</v>
      </c>
      <c r="B66" s="37" t="n">
        <f aca="false">B65/B49</f>
        <v>40838.8801452785</v>
      </c>
    </row>
    <row r="67" customFormat="false" ht="15" hidden="false" customHeight="false" outlineLevel="0" collapsed="false">
      <c r="A67" s="8" t="s">
        <v>346</v>
      </c>
      <c r="B67" s="41" t="n">
        <f aca="false">B59+B60+B61+B57+B62</f>
        <v>62298.1372758799</v>
      </c>
      <c r="C67" s="2" t="s">
        <v>347</v>
      </c>
    </row>
    <row r="69" customFormat="false" ht="15" hidden="false" customHeight="false" outlineLevel="0" collapsed="false">
      <c r="A69" s="11" t="s">
        <v>348</v>
      </c>
      <c r="B69" s="12"/>
      <c r="C69" s="12"/>
      <c r="D69" s="12"/>
      <c r="E69" s="12"/>
      <c r="F69" s="12"/>
      <c r="G69" s="12"/>
    </row>
    <row r="70" customFormat="false" ht="45" hidden="false" customHeight="true" outlineLevel="0" collapsed="false">
      <c r="A70" s="13" t="s">
        <v>18</v>
      </c>
      <c r="B70" s="13" t="s">
        <v>275</v>
      </c>
      <c r="C70" s="13" t="s">
        <v>349</v>
      </c>
      <c r="D70" s="13" t="s">
        <v>350</v>
      </c>
      <c r="E70" s="13" t="s">
        <v>351</v>
      </c>
      <c r="F70" s="13" t="s">
        <v>352</v>
      </c>
    </row>
    <row r="71" customFormat="false" ht="15" hidden="false" customHeight="false" outlineLevel="0" collapsed="false">
      <c r="A71" s="4" t="str">
        <f aca="false">A5</f>
        <v>Bidon purificador 22 L</v>
      </c>
      <c r="B71" s="14" t="n">
        <f aca="false">B5</f>
        <v>804</v>
      </c>
      <c r="C71" s="6" t="n">
        <f aca="false">D5*$B$49+($B$59+$B$60/(1+Supuestos!$B$4)+$B$61/(1+Supuestos!$B$4)+SUM($B$42:$B$45))*F5+$B$54*G5</f>
        <v>38229.3569077301</v>
      </c>
      <c r="D71" s="47" t="n">
        <f aca="false">C71/B71</f>
        <v>47.5489513777738</v>
      </c>
      <c r="E71" s="37" t="n">
        <f aca="false">(C71+(($B$55+$B$56)*G5)+($B$46+($B$60-$B$60/(1+Supuestos!$B$4))+($B$61-$B$61/(1+Supuestos!$B$4)))*F5)/B71</f>
        <v>56.7825001958466</v>
      </c>
      <c r="F71" s="43" t="n">
        <f aca="false">IF(Costo_Lima!$B$19=1,D71,E71)</f>
        <v>47.5489513777738</v>
      </c>
    </row>
    <row r="72" customFormat="false" ht="15" hidden="false" customHeight="false" outlineLevel="0" collapsed="false">
      <c r="A72" s="4" t="str">
        <f aca="false">A6</f>
        <v>Bidon purificador 16 L</v>
      </c>
      <c r="B72" s="14" t="n">
        <f aca="false">B6</f>
        <v>804</v>
      </c>
      <c r="C72" s="6" t="n">
        <f aca="false">D6*$B$49+($B$59+$B$60/(1+Supuestos!$B$4)+$B$61/(1+Supuestos!$B$4)+SUM($B$42:$B$45))*F6+$B$54*G6</f>
        <v>32032.6397453441</v>
      </c>
      <c r="D72" s="47" t="n">
        <f aca="false">C72/B72</f>
        <v>39.8415917230648</v>
      </c>
      <c r="E72" s="37" t="n">
        <f aca="false">(C72+(($B$55+$B$56)*G6)+($B$46+($B$60-$B$60/(1+Supuestos!$B$4))+($B$61-$B$61/(1+Supuestos!$B$4)))*F6)/B72</f>
        <v>46.8125434023889</v>
      </c>
      <c r="F72" s="43" t="n">
        <f aca="false">IF(Costo_Lima!$B$19=1,D72,E72)</f>
        <v>39.8415917230648</v>
      </c>
    </row>
    <row r="73" customFormat="false" ht="15" hidden="false" customHeight="false" outlineLevel="0" collapsed="false">
      <c r="A73" s="4" t="str">
        <f aca="false">A7</f>
        <v>Kit de filtros 3 en 1</v>
      </c>
      <c r="B73" s="14" t="n">
        <f aca="false">B7</f>
        <v>840</v>
      </c>
      <c r="C73" s="6" t="n">
        <f aca="false">D7*$B$49+($B$59+$B$60/(1+Supuestos!$B$4)+$B$61/(1+Supuestos!$B$4)+SUM($B$42:$B$45))*F7+$B$54*G7</f>
        <v>9161.77656577066</v>
      </c>
      <c r="D73" s="47" t="n">
        <f aca="false">C73/B73</f>
        <v>10.9068768640127</v>
      </c>
      <c r="E73" s="37" t="n">
        <f aca="false">(C73+(($B$55+$B$56)*G7)+($B$46+($B$60-$B$60/(1+Supuestos!$B$4))+($B$61-$B$61/(1+Supuestos!$B$4)))*F7)/B73</f>
        <v>12.9617641608645</v>
      </c>
      <c r="F73" s="43" t="n">
        <f aca="false">IF(Costo_Lima!$B$19=1,D73,E73)</f>
        <v>10.9068768640127</v>
      </c>
    </row>
    <row r="74" customFormat="false" ht="15" hidden="false" customHeight="false" outlineLevel="0" collapsed="false">
      <c r="A74" s="4" t="str">
        <f aca="false">A8</f>
        <v>elvo· Cero R260 (100 maquinas + 20 filtros + entrega a Ningbo)</v>
      </c>
      <c r="B74" s="14" t="n">
        <f aca="false">B8</f>
        <v>100</v>
      </c>
      <c r="C74" s="6" t="n">
        <f aca="false">D8*$B$49+($B$59+$B$60/(1+Supuestos!$B$4)+$B$61/(1+Supuestos!$B$4)+SUM($B$42:$B$45))*F8+$B$54*G8</f>
        <v>63512.3072896298</v>
      </c>
      <c r="D74" s="47" t="n">
        <f aca="false">C74/B74</f>
        <v>635.123072896298</v>
      </c>
      <c r="E74" s="37" t="n">
        <f aca="false">(C74+(($B$55+$B$56)*G8)+($B$46+($B$60-$B$60/(1+Supuestos!$B$4))+($B$61-$B$61/(1+Supuestos!$B$4)))*F8)/B74</f>
        <v>790.068403277724</v>
      </c>
      <c r="F74" s="43" t="n">
        <f aca="false">IF(Costo_Lima!$B$19=1,D74,E74)</f>
        <v>635.123072896298</v>
      </c>
    </row>
    <row r="75" customFormat="false" ht="15" hidden="false" customHeight="false" outlineLevel="0" collapsed="false">
      <c r="A75" s="8" t="s">
        <v>285</v>
      </c>
      <c r="C75" s="40" t="n">
        <f aca="false">SUM(C71:C74)</f>
        <v>142936.080508475</v>
      </c>
      <c r="D75" s="37" t="n">
        <f aca="false">C75-B65</f>
        <v>0</v>
      </c>
      <c r="E75" s="2" t="s">
        <v>353</v>
      </c>
    </row>
    <row r="76" customFormat="false" ht="15" hidden="false" customHeight="false" outlineLevel="0" collapsed="false">
      <c r="A76" s="2" t="s">
        <v>354</v>
      </c>
    </row>
    <row r="78" customFormat="false" ht="15" hidden="false" customHeight="false" outlineLevel="0" collapsed="false">
      <c r="A78" s="11" t="s">
        <v>355</v>
      </c>
      <c r="B78" s="12"/>
      <c r="C78" s="12"/>
      <c r="D78" s="12"/>
      <c r="E78" s="12"/>
      <c r="F78" s="12"/>
      <c r="G78" s="12"/>
    </row>
    <row r="79" customFormat="false" ht="15" hidden="false" customHeight="false" outlineLevel="0" collapsed="false">
      <c r="A79" s="13" t="s">
        <v>288</v>
      </c>
      <c r="B79" s="13" t="s">
        <v>28</v>
      </c>
      <c r="C79" s="13" t="s">
        <v>29</v>
      </c>
      <c r="D79" s="13" t="s">
        <v>356</v>
      </c>
      <c r="E79" s="13" t="s">
        <v>30</v>
      </c>
    </row>
    <row r="80" customFormat="false" ht="15" hidden="false" customHeight="false" outlineLevel="0" collapsed="false">
      <c r="A80" s="4" t="s">
        <v>357</v>
      </c>
      <c r="B80" s="21" t="n">
        <v>219</v>
      </c>
      <c r="C80" s="21" t="n">
        <v>159</v>
      </c>
      <c r="D80" s="21" t="n">
        <v>85</v>
      </c>
      <c r="E80" s="21" t="n">
        <v>2299</v>
      </c>
    </row>
    <row r="81" customFormat="false" ht="15" hidden="false" customHeight="false" outlineLevel="0" collapsed="false">
      <c r="A81" s="4" t="s">
        <v>256</v>
      </c>
      <c r="B81" s="6" t="n">
        <f aca="false">B80/(1+Supuestos!$B$4)</f>
        <v>185.593220338983</v>
      </c>
      <c r="C81" s="6" t="n">
        <f aca="false">C80/(1+Supuestos!$B$4)</f>
        <v>134.745762711864</v>
      </c>
      <c r="D81" s="6" t="n">
        <f aca="false">D80/(1+Supuestos!$B$4)</f>
        <v>72.0338983050848</v>
      </c>
      <c r="E81" s="6" t="n">
        <f aca="false">E80/(1+Supuestos!$B$4)</f>
        <v>1948.30508474576</v>
      </c>
    </row>
    <row r="82" customFormat="false" ht="15" hidden="false" customHeight="false" outlineLevel="0" collapsed="false">
      <c r="A82" s="4" t="s">
        <v>348</v>
      </c>
      <c r="B82" s="6" t="n">
        <f aca="false">-F71</f>
        <v>-47.5489513777738</v>
      </c>
      <c r="C82" s="6" t="n">
        <f aca="false">-F72</f>
        <v>-39.8415917230648</v>
      </c>
      <c r="D82" s="6" t="n">
        <f aca="false">-F73</f>
        <v>-10.9068768640127</v>
      </c>
      <c r="E82" s="6" t="n">
        <f aca="false">-F74</f>
        <v>-635.123072896298</v>
      </c>
    </row>
    <row r="83" customFormat="false" ht="15" hidden="false" customHeight="false" outlineLevel="0" collapsed="false">
      <c r="A83" s="4" t="s">
        <v>257</v>
      </c>
      <c r="B83" s="27" t="n">
        <f aca="false">-(B80*Supuestos!$B$31+Supuestos!$B$32)</f>
        <v>-7.10723</v>
      </c>
      <c r="C83" s="27" t="n">
        <f aca="false">-(C80*Supuestos!$B$31+Supuestos!$B$32)</f>
        <v>-5.29703</v>
      </c>
      <c r="D83" s="27" t="n">
        <f aca="false">-(D80*Supuestos!$B$31+Supuestos!$B$32)</f>
        <v>-3.06445</v>
      </c>
      <c r="E83" s="27" t="n">
        <f aca="false">-(E80*Supuestos!$B$31+Supuestos!$B$32)</f>
        <v>-69.86083</v>
      </c>
    </row>
    <row r="84" customFormat="false" ht="15" hidden="false" customHeight="false" outlineLevel="0" collapsed="false">
      <c r="A84" s="4" t="s">
        <v>258</v>
      </c>
      <c r="B84" s="27" t="n">
        <f aca="false">-Supuestos!$B$16</f>
        <v>-3.5</v>
      </c>
      <c r="C84" s="27" t="n">
        <f aca="false">-Supuestos!$B$16</f>
        <v>-3.5</v>
      </c>
      <c r="D84" s="27" t="n">
        <f aca="false">-Supuestos!$B$16</f>
        <v>-3.5</v>
      </c>
      <c r="E84" s="27" t="n">
        <f aca="false">-Supuestos!$B$16</f>
        <v>-3.5</v>
      </c>
    </row>
    <row r="85" customFormat="false" ht="15" hidden="false" customHeight="false" outlineLevel="0" collapsed="false">
      <c r="A85" s="4" t="s">
        <v>259</v>
      </c>
      <c r="B85" s="27" t="n">
        <f aca="false">-Supuestos!$B$18</f>
        <v>-12.5</v>
      </c>
      <c r="C85" s="27" t="n">
        <f aca="false">-Supuestos!$B$18</f>
        <v>-12.5</v>
      </c>
      <c r="D85" s="27" t="n">
        <f aca="false">-Supuestos!$B$18</f>
        <v>-12.5</v>
      </c>
      <c r="E85" s="27" t="n">
        <f aca="false">-Supuestos!$B$18</f>
        <v>-12.5</v>
      </c>
    </row>
    <row r="86" customFormat="false" ht="15" hidden="false" customHeight="false" outlineLevel="0" collapsed="false">
      <c r="A86" s="4" t="s">
        <v>358</v>
      </c>
      <c r="B86" s="6" t="n">
        <f aca="false">-B80*B94</f>
        <v>-0</v>
      </c>
      <c r="C86" s="6" t="n">
        <f aca="false">-C80*C94</f>
        <v>-0</v>
      </c>
      <c r="D86" s="6" t="n">
        <f aca="false">-D80*D94</f>
        <v>-0</v>
      </c>
      <c r="E86" s="6" t="n">
        <f aca="false">-E80*E94</f>
        <v>-91.96</v>
      </c>
    </row>
    <row r="87" customFormat="false" ht="15" hidden="false" customHeight="false" outlineLevel="0" collapsed="false">
      <c r="A87" s="4" t="s">
        <v>260</v>
      </c>
      <c r="B87" s="40" t="n">
        <f aca="false">SUM(B81:B86)</f>
        <v>114.937038961209</v>
      </c>
      <c r="C87" s="40" t="n">
        <f aca="false">SUM(C81:C86)</f>
        <v>73.6071409887997</v>
      </c>
      <c r="D87" s="40" t="n">
        <f aca="false">SUM(D81:D86)</f>
        <v>42.0625714410721</v>
      </c>
      <c r="E87" s="40" t="n">
        <f aca="false">SUM(E81:E86)</f>
        <v>1135.36118184947</v>
      </c>
    </row>
    <row r="88" customFormat="false" ht="15" hidden="false" customHeight="false" outlineLevel="0" collapsed="false">
      <c r="A88" s="4" t="s">
        <v>261</v>
      </c>
      <c r="B88" s="6" t="n">
        <f aca="false">-(1-Supuestos!$B$7)*(B81+B82+B83+B86)</f>
        <v>-26.1874077922419</v>
      </c>
      <c r="C88" s="6" t="n">
        <f aca="false">-(1-Supuestos!$B$7)*(C81+C82+C83+C86)</f>
        <v>-17.9214281977599</v>
      </c>
      <c r="D88" s="6" t="n">
        <f aca="false">-(1-Supuestos!$B$7)*(D81+D82+D83+D86)</f>
        <v>-11.6125142882144</v>
      </c>
      <c r="E88" s="6" t="n">
        <f aca="false">-(1-Supuestos!$B$7)*(E81+E82+E83+E86)</f>
        <v>-230.272236369893</v>
      </c>
    </row>
    <row r="89" customFormat="false" ht="15" hidden="false" customHeight="false" outlineLevel="0" collapsed="false">
      <c r="A89" s="8" t="s">
        <v>262</v>
      </c>
      <c r="B89" s="40" t="n">
        <f aca="false">B87+B88</f>
        <v>88.7496311689675</v>
      </c>
      <c r="C89" s="40" t="n">
        <f aca="false">C87+C88</f>
        <v>55.6857127910397</v>
      </c>
      <c r="D89" s="40" t="n">
        <f aca="false">D87+D88</f>
        <v>30.4500571528577</v>
      </c>
      <c r="E89" s="40" t="n">
        <f aca="false">E87+E88</f>
        <v>905.088945479572</v>
      </c>
    </row>
    <row r="90" customFormat="false" ht="15" hidden="false" customHeight="false" outlineLevel="0" collapsed="false">
      <c r="A90" s="4" t="s">
        <v>359</v>
      </c>
      <c r="B90" s="27" t="n">
        <f aca="false">-Supuestos!$B$6*B95</f>
        <v>-65</v>
      </c>
      <c r="C90" s="27" t="n">
        <f aca="false">-Supuestos!$B$6*C95</f>
        <v>-65</v>
      </c>
      <c r="D90" s="27" t="n">
        <f aca="false">-Supuestos!$B$6*D95</f>
        <v>-0</v>
      </c>
      <c r="E90" s="27" t="n">
        <f aca="false">-Supuestos!$B$6*E95</f>
        <v>-65</v>
      </c>
    </row>
    <row r="91" customFormat="false" ht="15" hidden="false" customHeight="false" outlineLevel="0" collapsed="false">
      <c r="A91" s="8" t="s">
        <v>264</v>
      </c>
      <c r="B91" s="41" t="n">
        <f aca="false">B89+B90</f>
        <v>23.7496311689675</v>
      </c>
      <c r="C91" s="41" t="n">
        <f aca="false">C89+C90</f>
        <v>-9.31428720896027</v>
      </c>
      <c r="D91" s="41" t="n">
        <f aca="false">D89+D90</f>
        <v>30.4500571528577</v>
      </c>
      <c r="E91" s="41" t="n">
        <f aca="false">E89+E90</f>
        <v>840.088945479572</v>
      </c>
    </row>
    <row r="92" customFormat="false" ht="15" hidden="false" customHeight="false" outlineLevel="0" collapsed="false">
      <c r="A92" s="4" t="s">
        <v>265</v>
      </c>
      <c r="B92" s="28" t="n">
        <f aca="false">B91/B80</f>
        <v>0.108445804424509</v>
      </c>
      <c r="C92" s="28" t="n">
        <f aca="false">C91/C80</f>
        <v>-0.0585804226978633</v>
      </c>
      <c r="D92" s="28" t="n">
        <f aca="false">D91/D80</f>
        <v>0.358235966504208</v>
      </c>
      <c r="E92" s="28" t="n">
        <f aca="false">E91/E80</f>
        <v>0.365414939312559</v>
      </c>
    </row>
    <row r="94" customFormat="false" ht="15" hidden="false" customHeight="false" outlineLevel="0" collapsed="false">
      <c r="A94" s="4" t="s">
        <v>360</v>
      </c>
      <c r="B94" s="19" t="n">
        <v>0</v>
      </c>
      <c r="C94" s="19" t="n">
        <v>0</v>
      </c>
      <c r="D94" s="19" t="n">
        <v>0</v>
      </c>
      <c r="E94" s="19" t="n">
        <v>0.04</v>
      </c>
    </row>
    <row r="95" customFormat="false" ht="15" hidden="false" customHeight="false" outlineLevel="0" collapsed="false">
      <c r="A95" s="4" t="s">
        <v>361</v>
      </c>
      <c r="B95" s="24" t="n">
        <v>1</v>
      </c>
      <c r="C95" s="24" t="n">
        <v>1</v>
      </c>
      <c r="D95" s="24" t="n">
        <v>0</v>
      </c>
      <c r="E95" s="24" t="n">
        <v>1</v>
      </c>
    </row>
    <row r="97" customFormat="false" ht="15" hidden="false" customHeight="false" outlineLevel="0" collapsed="false">
      <c r="A97" s="2" t="s">
        <v>362</v>
      </c>
    </row>
    <row r="98" customFormat="false" ht="15" hidden="false" customHeight="false" outlineLevel="0" collapsed="false">
      <c r="A98" s="2" t="s">
        <v>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364</v>
      </c>
    </row>
    <row r="2" customFormat="false" ht="15" hidden="false" customHeight="false" outlineLevel="0" collapsed="false">
      <c r="A2" s="2" t="s">
        <v>365</v>
      </c>
    </row>
    <row r="4" customFormat="false" ht="15" hidden="false" customHeight="false" outlineLevel="0" collapsed="false">
      <c r="A4" s="11" t="s">
        <v>366</v>
      </c>
      <c r="B4" s="12"/>
      <c r="C4" s="12"/>
      <c r="D4" s="12"/>
      <c r="E4" s="12"/>
      <c r="F4" s="12"/>
      <c r="G4" s="12"/>
    </row>
    <row r="5" customFormat="false" ht="15" hidden="false" customHeight="false" outlineLevel="0" collapsed="false">
      <c r="A5" s="4" t="s">
        <v>204</v>
      </c>
      <c r="B5" s="17" t="n">
        <f aca="false">Supuestos!B16</f>
        <v>3.5</v>
      </c>
    </row>
    <row r="6" customFormat="false" ht="15" hidden="false" customHeight="false" outlineLevel="0" collapsed="false">
      <c r="A6" s="4" t="s">
        <v>207</v>
      </c>
      <c r="B6" s="17" t="n">
        <f aca="false">Supuestos!B18</f>
        <v>12.5</v>
      </c>
    </row>
    <row r="7" customFormat="false" ht="15" hidden="false" customHeight="false" outlineLevel="0" collapsed="false">
      <c r="A7" s="4" t="s">
        <v>367</v>
      </c>
      <c r="B7" s="17" t="n">
        <f aca="false">Supuestos!B38</f>
        <v>4</v>
      </c>
    </row>
    <row r="8" customFormat="false" ht="15" hidden="false" customHeight="false" outlineLevel="0" collapsed="false">
      <c r="A8" s="4" t="s">
        <v>368</v>
      </c>
      <c r="B8" s="31" t="n">
        <f aca="false">Supuestos!B7</f>
        <v>0.8</v>
      </c>
    </row>
    <row r="10" customFormat="false" ht="15" hidden="false" customHeight="false" outlineLevel="0" collapsed="false">
      <c r="A10" s="11" t="s">
        <v>369</v>
      </c>
      <c r="B10" s="12"/>
      <c r="C10" s="12"/>
      <c r="D10" s="12"/>
      <c r="E10" s="12"/>
      <c r="F10" s="12"/>
      <c r="G10" s="12"/>
    </row>
    <row r="11" customFormat="false" ht="15" hidden="false" customHeight="false" outlineLevel="0" collapsed="false">
      <c r="A11" s="4" t="s">
        <v>370</v>
      </c>
      <c r="B11" s="33" t="n">
        <v>5.5</v>
      </c>
      <c r="C11" s="2" t="s">
        <v>371</v>
      </c>
    </row>
    <row r="12" customFormat="false" ht="15" hidden="false" customHeight="false" outlineLevel="0" collapsed="false">
      <c r="A12" s="4" t="s">
        <v>372</v>
      </c>
      <c r="B12" s="23" t="n">
        <v>8.75</v>
      </c>
      <c r="C12" s="2" t="s">
        <v>373</v>
      </c>
    </row>
    <row r="13" customFormat="false" ht="15" hidden="false" customHeight="false" outlineLevel="0" collapsed="false">
      <c r="A13" s="4" t="s">
        <v>374</v>
      </c>
      <c r="B13" s="33" t="n">
        <v>1.5</v>
      </c>
      <c r="C13" s="2" t="s">
        <v>375</v>
      </c>
    </row>
    <row r="14" customFormat="false" ht="15" hidden="false" customHeight="false" outlineLevel="0" collapsed="false">
      <c r="A14" s="4" t="s">
        <v>376</v>
      </c>
      <c r="B14" s="35" t="n">
        <v>0.045</v>
      </c>
      <c r="C14" s="2" t="s">
        <v>377</v>
      </c>
    </row>
    <row r="15" customFormat="false" ht="15" hidden="false" customHeight="false" outlineLevel="0" collapsed="false">
      <c r="A15" s="4" t="s">
        <v>378</v>
      </c>
      <c r="B15" s="35" t="n">
        <v>0.025</v>
      </c>
      <c r="C15" s="2" t="s">
        <v>379</v>
      </c>
    </row>
    <row r="16" customFormat="false" ht="15" hidden="false" customHeight="false" outlineLevel="0" collapsed="false">
      <c r="A16" s="4" t="s">
        <v>380</v>
      </c>
      <c r="B16" s="19" t="n">
        <v>0.25</v>
      </c>
      <c r="C16" s="2" t="s">
        <v>381</v>
      </c>
    </row>
    <row r="17" customFormat="false" ht="15" hidden="false" customHeight="false" outlineLevel="0" collapsed="false">
      <c r="A17" s="4" t="s">
        <v>382</v>
      </c>
      <c r="B17" s="33" t="n">
        <v>1</v>
      </c>
      <c r="C17" s="2" t="s">
        <v>383</v>
      </c>
    </row>
    <row r="18" customFormat="false" ht="15" hidden="false" customHeight="false" outlineLevel="0" collapsed="false">
      <c r="A18" s="4" t="s">
        <v>384</v>
      </c>
      <c r="B18" s="24" t="n">
        <v>1</v>
      </c>
      <c r="C18" s="2" t="s">
        <v>385</v>
      </c>
    </row>
    <row r="19" customFormat="false" ht="15" hidden="false" customHeight="false" outlineLevel="0" collapsed="false">
      <c r="A19" s="4" t="s">
        <v>386</v>
      </c>
      <c r="B19" s="45" t="n">
        <v>20</v>
      </c>
      <c r="C19" s="2" t="s">
        <v>387</v>
      </c>
    </row>
    <row r="20" customFormat="false" ht="15" hidden="false" customHeight="false" outlineLevel="0" collapsed="false">
      <c r="A20" s="4" t="s">
        <v>388</v>
      </c>
      <c r="B20" s="20" t="n">
        <v>0.5</v>
      </c>
      <c r="C20" s="2" t="s">
        <v>389</v>
      </c>
    </row>
    <row r="21" customFormat="false" ht="15" hidden="false" customHeight="false" outlineLevel="0" collapsed="false">
      <c r="A21" s="4" t="s">
        <v>390</v>
      </c>
      <c r="B21" s="19" t="n">
        <v>0.8</v>
      </c>
      <c r="C21" s="2" t="s">
        <v>391</v>
      </c>
    </row>
    <row r="22" customFormat="false" ht="15" hidden="false" customHeight="false" outlineLevel="0" collapsed="false">
      <c r="A22" s="4" t="s">
        <v>392</v>
      </c>
      <c r="B22" s="33" t="n">
        <v>114</v>
      </c>
      <c r="C22" s="2" t="s">
        <v>393</v>
      </c>
    </row>
    <row r="23" customFormat="false" ht="15" hidden="false" customHeight="false" outlineLevel="0" collapsed="false">
      <c r="A23" s="4" t="s">
        <v>394</v>
      </c>
      <c r="B23" s="34" t="n">
        <v>30</v>
      </c>
      <c r="C23" s="2" t="s">
        <v>395</v>
      </c>
    </row>
    <row r="24" customFormat="false" ht="15" hidden="false" customHeight="false" outlineLevel="0" collapsed="false">
      <c r="A24" s="4" t="s">
        <v>396</v>
      </c>
      <c r="B24" s="21" t="n">
        <v>100</v>
      </c>
      <c r="C24" s="2" t="s">
        <v>397</v>
      </c>
    </row>
    <row r="25" customFormat="false" ht="15" hidden="false" customHeight="false" outlineLevel="0" collapsed="false">
      <c r="A25" s="4" t="s">
        <v>398</v>
      </c>
      <c r="B25" s="15" t="n">
        <v>150</v>
      </c>
      <c r="C25" s="2" t="s">
        <v>399</v>
      </c>
    </row>
    <row r="26" customFormat="false" ht="15" hidden="false" customHeight="false" outlineLevel="0" collapsed="false">
      <c r="A26" s="4" t="s">
        <v>56</v>
      </c>
      <c r="B26" s="25" t="n">
        <f aca="false">Supuestos!B5</f>
        <v>3.5</v>
      </c>
    </row>
    <row r="27" customFormat="false" ht="15" hidden="false" customHeight="false" outlineLevel="0" collapsed="false">
      <c r="A27" s="4" t="s">
        <v>400</v>
      </c>
      <c r="B27" s="48" t="n">
        <f aca="false">B14*(1-B16)+B15*B16</f>
        <v>0.04</v>
      </c>
    </row>
    <row r="28" customFormat="false" ht="15" hidden="false" customHeight="false" outlineLevel="0" collapsed="false">
      <c r="A28" s="4" t="s">
        <v>401</v>
      </c>
      <c r="B28" s="43" t="n">
        <f aca="false">B11*MAX(B25,B24)/B24</f>
        <v>8.25</v>
      </c>
    </row>
    <row r="30" customFormat="false" ht="15" hidden="false" customHeight="false" outlineLevel="0" collapsed="false">
      <c r="A30" s="11" t="s">
        <v>402</v>
      </c>
      <c r="B30" s="12"/>
      <c r="C30" s="12"/>
      <c r="D30" s="12"/>
      <c r="E30" s="12"/>
      <c r="F30" s="12"/>
      <c r="G30" s="12"/>
    </row>
    <row r="31" customFormat="false" ht="30" hidden="false" customHeight="true" outlineLevel="0" collapsed="false">
      <c r="A31" s="39" t="s">
        <v>288</v>
      </c>
      <c r="B31" s="39" t="s">
        <v>238</v>
      </c>
      <c r="C31" s="39" t="s">
        <v>239</v>
      </c>
      <c r="D31" s="39" t="s">
        <v>240</v>
      </c>
      <c r="E31" s="39" t="s">
        <v>28</v>
      </c>
      <c r="F31" s="39" t="s">
        <v>29</v>
      </c>
      <c r="G31" s="39" t="s">
        <v>30</v>
      </c>
    </row>
    <row r="32" customFormat="false" ht="15" hidden="false" customHeight="false" outlineLevel="0" collapsed="false">
      <c r="A32" s="4" t="s">
        <v>403</v>
      </c>
      <c r="B32" s="30" t="n">
        <f aca="false">Desglose!B5</f>
        <v>299</v>
      </c>
      <c r="C32" s="30" t="n">
        <f aca="false">Desglose!C5</f>
        <v>349</v>
      </c>
      <c r="D32" s="30" t="n">
        <f aca="false">Desglose!D5</f>
        <v>399</v>
      </c>
      <c r="E32" s="30" t="n">
        <f aca="false">Contenedor2!B80</f>
        <v>219</v>
      </c>
      <c r="F32" s="30" t="n">
        <f aca="false">Contenedor2!C80</f>
        <v>159</v>
      </c>
      <c r="G32" s="30" t="n">
        <f aca="false">Contenedor2!E80</f>
        <v>2299</v>
      </c>
    </row>
    <row r="33" customFormat="false" ht="15" hidden="false" customHeight="false" outlineLevel="0" collapsed="false">
      <c r="A33" s="4" t="s">
        <v>404</v>
      </c>
      <c r="B33" s="27" t="n">
        <f aca="false">Desglose!B14+Desglose!B15+Desglose!B16</f>
        <v>221.44908902476</v>
      </c>
      <c r="C33" s="27" t="n">
        <f aca="false">Desglose!C14+Desglose!C15+Desglose!C16</f>
        <v>259.796949703949</v>
      </c>
      <c r="D33" s="27" t="n">
        <f aca="false">Desglose!D14+Desglose!D15+Desglose!D16</f>
        <v>295.628289706394</v>
      </c>
      <c r="E33" s="27" t="n">
        <f aca="false">Contenedor2!B81+Contenedor2!B82+Contenedor2!B83+Contenedor2!B86</f>
        <v>130.937038961209</v>
      </c>
      <c r="F33" s="27" t="n">
        <f aca="false">Contenedor2!C81+Contenedor2!C82+Contenedor2!C83+Contenedor2!C86</f>
        <v>89.6071409887996</v>
      </c>
      <c r="G33" s="27" t="n">
        <f aca="false">Contenedor2!E81+Contenedor2!E82+Contenedor2!E83+Contenedor2!E86</f>
        <v>1151.36118184947</v>
      </c>
    </row>
    <row r="34" customFormat="false" ht="15" hidden="false" customHeight="false" outlineLevel="0" collapsed="false">
      <c r="A34" s="4" t="s">
        <v>405</v>
      </c>
      <c r="B34" s="27" t="n">
        <f aca="false">Desglose!B16</f>
        <v>-9.52083</v>
      </c>
      <c r="C34" s="27" t="n">
        <f aca="false">Desglose!C16</f>
        <v>-11.02933</v>
      </c>
      <c r="D34" s="27" t="n">
        <f aca="false">Desglose!D16</f>
        <v>-12.53783</v>
      </c>
      <c r="E34" s="27" t="n">
        <f aca="false">Contenedor2!B83</f>
        <v>-7.10723</v>
      </c>
      <c r="F34" s="27" t="n">
        <f aca="false">Contenedor2!C83</f>
        <v>-5.29703</v>
      </c>
      <c r="G34" s="27" t="n">
        <f aca="false">Contenedor2!E83</f>
        <v>-69.86083</v>
      </c>
    </row>
    <row r="35" customFormat="false" ht="15" hidden="false" customHeight="false" outlineLevel="0" collapsed="false">
      <c r="A35" s="4" t="s">
        <v>406</v>
      </c>
      <c r="B35" s="49" t="n">
        <v>0.0077</v>
      </c>
      <c r="C35" s="49" t="n">
        <v>0.0077</v>
      </c>
      <c r="D35" s="49" t="n">
        <v>0.0077</v>
      </c>
      <c r="E35" s="49" t="n">
        <v>0.0242</v>
      </c>
      <c r="F35" s="49" t="n">
        <v>0.0259</v>
      </c>
      <c r="G35" s="49" t="n">
        <v>0.0875</v>
      </c>
    </row>
    <row r="36" customFormat="false" ht="15" hidden="false" customHeight="false" outlineLevel="0" collapsed="false">
      <c r="A36" s="4" t="s">
        <v>407</v>
      </c>
      <c r="B36" s="45" t="n">
        <v>1.5</v>
      </c>
      <c r="C36" s="45" t="n">
        <v>1.5</v>
      </c>
      <c r="D36" s="45" t="n">
        <v>2</v>
      </c>
      <c r="E36" s="45" t="n">
        <v>4.84</v>
      </c>
      <c r="F36" s="45" t="n">
        <v>5.18</v>
      </c>
      <c r="G36" s="45" t="n">
        <v>17.5</v>
      </c>
    </row>
    <row r="37" customFormat="false" ht="15" hidden="false" customHeight="false" outlineLevel="0" collapsed="false">
      <c r="A37" s="4" t="s">
        <v>408</v>
      </c>
      <c r="B37" s="24" t="n">
        <v>12</v>
      </c>
      <c r="C37" s="24" t="n">
        <v>12</v>
      </c>
      <c r="D37" s="24" t="n">
        <v>12</v>
      </c>
      <c r="E37" s="24" t="n">
        <v>6</v>
      </c>
      <c r="F37" s="24" t="n">
        <v>6</v>
      </c>
      <c r="G37" s="24" t="n">
        <v>1</v>
      </c>
    </row>
    <row r="38" customFormat="false" ht="15" hidden="false" customHeight="false" outlineLevel="0" collapsed="false">
      <c r="A38" s="4" t="s">
        <v>409</v>
      </c>
      <c r="B38" s="6" t="n">
        <f aca="false">$B$5+$B$6+$B$7</f>
        <v>20</v>
      </c>
      <c r="C38" s="6" t="n">
        <f aca="false">$B$5+$B$6+$B$7</f>
        <v>20</v>
      </c>
      <c r="D38" s="6" t="n">
        <f aca="false">$B$5+$B$6+$B$7</f>
        <v>20</v>
      </c>
      <c r="E38" s="6" t="n">
        <f aca="false">$B$5+$B$6+$B$7</f>
        <v>20</v>
      </c>
      <c r="F38" s="6" t="n">
        <f aca="false">$B$5+$B$6+$B$7</f>
        <v>20</v>
      </c>
      <c r="G38" s="6" t="n">
        <f aca="false">$B$5+$B$6+$B$7</f>
        <v>20</v>
      </c>
    </row>
    <row r="39" customFormat="false" ht="15" hidden="false" customHeight="false" outlineLevel="0" collapsed="false">
      <c r="A39" s="8" t="s">
        <v>410</v>
      </c>
      <c r="B39" s="40" t="n">
        <f aca="false">$B$8*B33-B38</f>
        <v>157.159271219808</v>
      </c>
      <c r="C39" s="40" t="n">
        <f aca="false">$B$8*C33-C38</f>
        <v>187.837559763159</v>
      </c>
      <c r="D39" s="40" t="n">
        <f aca="false">$B$8*D33-D38</f>
        <v>216.502631765115</v>
      </c>
      <c r="E39" s="40" t="n">
        <f aca="false">$B$8*E33-E38</f>
        <v>84.7496311689675</v>
      </c>
      <c r="F39" s="40" t="n">
        <f aca="false">$B$8*F33-F38</f>
        <v>51.6857127910397</v>
      </c>
      <c r="G39" s="40" t="n">
        <f aca="false">$B$8*G33-G38</f>
        <v>901.088945479572</v>
      </c>
    </row>
    <row r="40" customFormat="false" ht="15" hidden="false" customHeight="false" outlineLevel="0" collapsed="false">
      <c r="A40" s="4" t="s">
        <v>411</v>
      </c>
      <c r="B40" s="6" t="n">
        <f aca="false">$B$28+$B$12+MAX(0,B36-3)*$B$13</f>
        <v>17</v>
      </c>
      <c r="C40" s="6" t="n">
        <f aca="false">$B$28+$B$12+MAX(0,C36-3)*$B$13</f>
        <v>17</v>
      </c>
      <c r="D40" s="6" t="n">
        <f aca="false">$B$28+$B$12+MAX(0,D36-3)*$B$13</f>
        <v>17</v>
      </c>
      <c r="E40" s="6" t="n">
        <f aca="false">$B$28+$B$12+MAX(0,E36-3)*$B$13</f>
        <v>19.76</v>
      </c>
      <c r="F40" s="6" t="n">
        <f aca="false">$B$28+$B$12+MAX(0,F36-3)*$B$13</f>
        <v>20.27</v>
      </c>
      <c r="G40" s="6" t="n">
        <f aca="false">$B$28+$B$12+MAX(0,G36-3)*$B$13</f>
        <v>38.75</v>
      </c>
    </row>
    <row r="41" customFormat="false" ht="15" hidden="false" customHeight="false" outlineLevel="0" collapsed="false">
      <c r="A41" s="4" t="s">
        <v>412</v>
      </c>
      <c r="B41" s="6" t="n">
        <f aca="false">$B$27*B32*$B$21</f>
        <v>9.568</v>
      </c>
      <c r="C41" s="6" t="n">
        <f aca="false">$B$27*C32*$B$21</f>
        <v>11.168</v>
      </c>
      <c r="D41" s="6" t="n">
        <f aca="false">$B$27*D32*$B$21</f>
        <v>12.768</v>
      </c>
      <c r="E41" s="6" t="n">
        <f aca="false">$B$27*E32*$B$21</f>
        <v>7.008</v>
      </c>
      <c r="F41" s="6" t="n">
        <f aca="false">$B$27*F32*$B$21</f>
        <v>5.088</v>
      </c>
      <c r="G41" s="6" t="n">
        <f aca="false">$B$27*G32*$B$21</f>
        <v>73.568</v>
      </c>
    </row>
    <row r="42" customFormat="false" ht="15" hidden="false" customHeight="false" outlineLevel="0" collapsed="false">
      <c r="A42" s="4" t="s">
        <v>413</v>
      </c>
      <c r="B42" s="6" t="n">
        <f aca="false">(1-$B$21)*$B$17</f>
        <v>0.2</v>
      </c>
      <c r="C42" s="6" t="n">
        <f aca="false">(1-$B$21)*$B$17</f>
        <v>0.2</v>
      </c>
      <c r="D42" s="6" t="n">
        <f aca="false">(1-$B$21)*$B$17</f>
        <v>0.2</v>
      </c>
      <c r="E42" s="6" t="n">
        <f aca="false">(1-$B$21)*$B$17</f>
        <v>0.2</v>
      </c>
      <c r="F42" s="6" t="n">
        <f aca="false">(1-$B$21)*$B$17</f>
        <v>0.2</v>
      </c>
      <c r="G42" s="6" t="n">
        <f aca="false">(1-$B$21)*$B$17</f>
        <v>0.2</v>
      </c>
    </row>
    <row r="43" customFormat="false" ht="15" hidden="false" customHeight="false" outlineLevel="0" collapsed="false">
      <c r="A43" s="4" t="s">
        <v>414</v>
      </c>
      <c r="B43" s="6" t="n">
        <f aca="false">B35*$B$19*$B$26*$B$20</f>
        <v>0.2695</v>
      </c>
      <c r="C43" s="6" t="n">
        <f aca="false">C35*$B$19*$B$26*$B$20</f>
        <v>0.2695</v>
      </c>
      <c r="D43" s="6" t="n">
        <f aca="false">D35*$B$19*$B$26*$B$20</f>
        <v>0.2695</v>
      </c>
      <c r="E43" s="6" t="n">
        <f aca="false">E35*$B$19*$B$26*$B$20</f>
        <v>0.847</v>
      </c>
      <c r="F43" s="6" t="n">
        <f aca="false">F35*$B$19*$B$26*$B$20</f>
        <v>0.9065</v>
      </c>
      <c r="G43" s="6" t="n">
        <f aca="false">G35*$B$19*$B$26*$B$20</f>
        <v>3.0625</v>
      </c>
    </row>
    <row r="44" customFormat="false" ht="15" hidden="false" customHeight="false" outlineLevel="0" collapsed="false">
      <c r="A44" s="4" t="s">
        <v>415</v>
      </c>
      <c r="B44" s="6" t="n">
        <f aca="false">$B$22/($B$23*B37)</f>
        <v>0.316666666666667</v>
      </c>
      <c r="C44" s="6" t="n">
        <f aca="false">$B$22/($B$23*C37)</f>
        <v>0.316666666666667</v>
      </c>
      <c r="D44" s="6" t="n">
        <f aca="false">$B$22/($B$23*D37)</f>
        <v>0.316666666666667</v>
      </c>
      <c r="E44" s="6" t="n">
        <f aca="false">$B$22/($B$23*E37)</f>
        <v>0.633333333333333</v>
      </c>
      <c r="F44" s="6" t="n">
        <f aca="false">$B$22/($B$23*F37)</f>
        <v>0.633333333333333</v>
      </c>
      <c r="G44" s="6" t="n">
        <f aca="false">$B$22/($B$23*G37)</f>
        <v>3.8</v>
      </c>
    </row>
    <row r="45" customFormat="false" ht="15" hidden="false" customHeight="false" outlineLevel="0" collapsed="false">
      <c r="A45" s="4" t="s">
        <v>416</v>
      </c>
      <c r="B45" s="27" t="n">
        <f aca="false">Stock_Hub!$B$28/Stock_Hub!$B$31</f>
        <v>2.14285714285714</v>
      </c>
      <c r="C45" s="27" t="n">
        <f aca="false">Stock_Hub!$B$28/Stock_Hub!$B$31</f>
        <v>2.14285714285714</v>
      </c>
      <c r="D45" s="27" t="n">
        <f aca="false">Stock_Hub!$B$28/Stock_Hub!$B$31</f>
        <v>2.14285714285714</v>
      </c>
      <c r="E45" s="27" t="n">
        <f aca="false">Stock_Hub!$B$28/Stock_Hub!$B$31</f>
        <v>2.14285714285714</v>
      </c>
      <c r="F45" s="27" t="n">
        <f aca="false">Stock_Hub!$B$28/Stock_Hub!$B$31</f>
        <v>2.14285714285714</v>
      </c>
      <c r="G45" s="27" t="n">
        <f aca="false">Stock_Hub!$B$28/Stock_Hub!$B$31</f>
        <v>2.14285714285714</v>
      </c>
    </row>
    <row r="46" customFormat="false" ht="15" hidden="false" customHeight="false" outlineLevel="0" collapsed="false">
      <c r="A46" s="4" t="s">
        <v>417</v>
      </c>
      <c r="B46" s="6" t="n">
        <f aca="false">SUM(B40:B45)</f>
        <v>29.4970238095238</v>
      </c>
      <c r="C46" s="6" t="n">
        <f aca="false">SUM(C40:C45)</f>
        <v>31.0970238095238</v>
      </c>
      <c r="D46" s="6" t="n">
        <f aca="false">SUM(D40:D45)</f>
        <v>32.6970238095238</v>
      </c>
      <c r="E46" s="6" t="n">
        <f aca="false">SUM(E40:E45)</f>
        <v>30.5911904761905</v>
      </c>
      <c r="F46" s="6" t="n">
        <f aca="false">SUM(F40:F45)</f>
        <v>29.2406904761905</v>
      </c>
      <c r="G46" s="6" t="n">
        <f aca="false">SUM(G40:G45)</f>
        <v>121.523357142857</v>
      </c>
    </row>
    <row r="47" customFormat="false" ht="15" hidden="false" customHeight="false" outlineLevel="0" collapsed="false">
      <c r="A47" s="4" t="s">
        <v>418</v>
      </c>
      <c r="B47" s="6" t="n">
        <f aca="false">B33-$B$18*B34</f>
        <v>230.96991902476</v>
      </c>
      <c r="C47" s="6" t="n">
        <f aca="false">C33-$B$18*C34</f>
        <v>270.826279703949</v>
      </c>
      <c r="D47" s="6" t="n">
        <f aca="false">D33-$B$18*D34</f>
        <v>308.166119706394</v>
      </c>
      <c r="E47" s="6" t="n">
        <f aca="false">E33-$B$18*E34</f>
        <v>138.044268961209</v>
      </c>
      <c r="F47" s="6" t="n">
        <f aca="false">F33-$B$18*F34</f>
        <v>94.9041709887997</v>
      </c>
      <c r="G47" s="6" t="n">
        <f aca="false">G33-$B$18*G34</f>
        <v>1221.22201184947</v>
      </c>
    </row>
    <row r="48" customFormat="false" ht="15" hidden="false" customHeight="false" outlineLevel="0" collapsed="false">
      <c r="A48" s="8" t="s">
        <v>419</v>
      </c>
      <c r="B48" s="40" t="n">
        <f aca="false">$B$21*B47-B46</f>
        <v>155.278911410284</v>
      </c>
      <c r="C48" s="40" t="n">
        <f aca="false">$B$21*C47-C46</f>
        <v>185.563999953635</v>
      </c>
      <c r="D48" s="40" t="n">
        <f aca="false">$B$21*D47-D46</f>
        <v>213.835871955591</v>
      </c>
      <c r="E48" s="40" t="n">
        <f aca="false">$B$21*E47-E46</f>
        <v>79.844224692777</v>
      </c>
      <c r="F48" s="40" t="n">
        <f aca="false">$B$21*F47-F46</f>
        <v>46.6826463148492</v>
      </c>
      <c r="G48" s="40" t="n">
        <f aca="false">$B$21*G47-G46</f>
        <v>855.454252336715</v>
      </c>
    </row>
    <row r="49" customFormat="false" ht="15" hidden="false" customHeight="false" outlineLevel="0" collapsed="false">
      <c r="A49" s="8" t="s">
        <v>420</v>
      </c>
      <c r="B49" s="41" t="n">
        <f aca="false">B48-B39</f>
        <v>-1.88035980952384</v>
      </c>
      <c r="C49" s="41" t="n">
        <f aca="false">C48-C39</f>
        <v>-2.27355980952382</v>
      </c>
      <c r="D49" s="41" t="n">
        <f aca="false">D48-D39</f>
        <v>-2.66675980952382</v>
      </c>
      <c r="E49" s="41" t="n">
        <f aca="false">E48-E39</f>
        <v>-4.90540647619049</v>
      </c>
      <c r="F49" s="41" t="n">
        <f aca="false">F48-F39</f>
        <v>-5.00306647619048</v>
      </c>
      <c r="G49" s="41" t="n">
        <f aca="false">G48-G39</f>
        <v>-45.6346931428571</v>
      </c>
    </row>
    <row r="50" customFormat="false" ht="15" hidden="false" customHeight="false" outlineLevel="0" collapsed="false">
      <c r="A50" s="8" t="s">
        <v>421</v>
      </c>
      <c r="B50" s="50" t="n">
        <f aca="false">IF(B49&lt;0,-B49/B47,0)</f>
        <v>0.00814114590100482</v>
      </c>
      <c r="C50" s="50" t="n">
        <f aca="false">IF(C49&lt;0,-C49/C47,0)</f>
        <v>0.00839490101185579</v>
      </c>
      <c r="D50" s="50" t="n">
        <f aca="false">IF(D49&lt;0,-D49/D47,0)</f>
        <v>0.00865364372976688</v>
      </c>
      <c r="E50" s="50" t="n">
        <f aca="false">IF(E49&lt;0,-E49/E47,0)</f>
        <v>0.0355350244751481</v>
      </c>
      <c r="F50" s="50" t="n">
        <f aca="false">IF(F49&lt;0,-F49/F47,0)</f>
        <v>0.0527170347105285</v>
      </c>
      <c r="G50" s="50" t="n">
        <f aca="false">IF(G49&lt;0,-G49/G47,0)</f>
        <v>0.0373680565041128</v>
      </c>
    </row>
    <row r="51" customFormat="false" ht="15" hidden="false" customHeight="false" outlineLevel="0" collapsed="false">
      <c r="A51" s="8" t="s">
        <v>422</v>
      </c>
      <c r="B51" s="48" t="n">
        <f aca="false">($B$21*B47-(B40+B42+B43+B44)-B39)/(B32*$B$21)</f>
        <v>0.0410973968784837</v>
      </c>
      <c r="C51" s="48" t="n">
        <f aca="false">($B$21*C47-(C40+C42+C43+C44)-C39)/(C32*$B$21)</f>
        <v>0.0395318672397326</v>
      </c>
      <c r="D51" s="48" t="n">
        <f aca="false">($B$21*D47-(D40+D42+D43+D44)-D39)/(D32*$B$21)</f>
        <v>0.038358700918964</v>
      </c>
      <c r="E51" s="48" t="n">
        <f aca="false">($B$21*E47-(E40+E42+E43+E44)-E39)/(E32*$B$21)</f>
        <v>0.0242320243531202</v>
      </c>
      <c r="F51" s="48" t="n">
        <f aca="false">($B$21*F47-(F40+F42+F43+F44)-F39)/(F32*$B$21)</f>
        <v>0.0175140775681342</v>
      </c>
      <c r="G51" s="48" t="n">
        <f aca="false">($B$21*G47-(G40+G42+G43+G44)-G39)/(G32*$B$21)</f>
        <v>0.0163528512396695</v>
      </c>
    </row>
    <row r="54" customFormat="false" ht="15" hidden="false" customHeight="false" outlineLevel="0" collapsed="false">
      <c r="A54" s="11" t="s">
        <v>423</v>
      </c>
      <c r="B54" s="12"/>
      <c r="C54" s="12"/>
      <c r="D54" s="12"/>
      <c r="E54" s="12"/>
      <c r="F54" s="12"/>
      <c r="G54" s="12"/>
    </row>
    <row r="55" customFormat="false" ht="15" hidden="false" customHeight="false" outlineLevel="0" collapsed="false">
      <c r="A55" s="8" t="s">
        <v>424</v>
      </c>
      <c r="B55" s="15" t="n">
        <v>50</v>
      </c>
      <c r="C55" s="15" t="n">
        <v>75</v>
      </c>
      <c r="D55" s="15" t="n">
        <v>100</v>
      </c>
      <c r="E55" s="15" t="n">
        <v>150</v>
      </c>
      <c r="F55" s="15" t="n">
        <v>200</v>
      </c>
      <c r="G55" s="15" t="n">
        <v>300</v>
      </c>
    </row>
    <row r="56" customFormat="false" ht="15" hidden="false" customHeight="false" outlineLevel="0" collapsed="false">
      <c r="A56" s="8" t="s">
        <v>425</v>
      </c>
      <c r="B56" s="41" t="n">
        <f aca="false">$C$49+($B$28-$B$11*MAX($B$25,B55)/B55)</f>
        <v>-10.5235598095238</v>
      </c>
      <c r="C56" s="41" t="n">
        <f aca="false">$C$49+($B$28-$B$11*MAX($B$25,C55)/C55)</f>
        <v>-5.02355980952382</v>
      </c>
      <c r="D56" s="41" t="n">
        <f aca="false">$C$49+($B$28-$B$11*MAX($B$25,D55)/D55)</f>
        <v>-2.27355980952382</v>
      </c>
      <c r="E56" s="41" t="n">
        <f aca="false">$C$49+($B$28-$B$11*MAX($B$25,E55)/E55)</f>
        <v>0.476440190476183</v>
      </c>
      <c r="F56" s="41" t="n">
        <f aca="false">$C$49+($B$28-$B$11*MAX($B$25,F55)/F55)</f>
        <v>0.476440190476183</v>
      </c>
      <c r="G56" s="41" t="n">
        <f aca="false">$C$49+($B$28-$B$11*MAX($B$25,G55)/G55)</f>
        <v>0.476440190476183</v>
      </c>
    </row>
    <row r="58" customFormat="false" ht="15" hidden="false" customHeight="false" outlineLevel="0" collapsed="false">
      <c r="A58" s="2" t="s">
        <v>426</v>
      </c>
    </row>
    <row r="59" customFormat="false" ht="15" hidden="false" customHeight="false" outlineLevel="0" collapsed="false">
      <c r="A59" s="2" t="s">
        <v>427</v>
      </c>
    </row>
    <row r="60" customFormat="false" ht="15" hidden="false" customHeight="false" outlineLevel="0" collapsed="false">
      <c r="A60" s="2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429</v>
      </c>
    </row>
    <row r="2" customFormat="false" ht="15" hidden="false" customHeight="false" outlineLevel="0" collapsed="false">
      <c r="A2" s="2" t="s">
        <v>430</v>
      </c>
    </row>
    <row r="4" customFormat="false" ht="15" hidden="false" customHeight="false" outlineLevel="0" collapsed="false">
      <c r="A4" s="4" t="s">
        <v>431</v>
      </c>
      <c r="B4" s="51" t="n">
        <f aca="false">Courier_Hub!B24/30</f>
        <v>3.33333333333333</v>
      </c>
      <c r="C4" s="2" t="s">
        <v>432</v>
      </c>
    </row>
    <row r="5" customFormat="false" ht="15" hidden="false" customHeight="false" outlineLevel="0" collapsed="false">
      <c r="A5" s="4" t="s">
        <v>433</v>
      </c>
      <c r="B5" s="34" t="n">
        <v>28</v>
      </c>
      <c r="C5" s="2" t="s">
        <v>434</v>
      </c>
    </row>
    <row r="6" customFormat="false" ht="15" hidden="false" customHeight="false" outlineLevel="0" collapsed="false">
      <c r="A6" s="4" t="s">
        <v>435</v>
      </c>
      <c r="B6" s="24" t="n">
        <v>3</v>
      </c>
      <c r="C6" s="2"/>
    </row>
    <row r="7" customFormat="false" ht="15" hidden="false" customHeight="false" outlineLevel="0" collapsed="false">
      <c r="A7" s="4" t="s">
        <v>436</v>
      </c>
      <c r="B7" s="52" t="n">
        <v>1</v>
      </c>
      <c r="C7" s="2" t="s">
        <v>437</v>
      </c>
    </row>
    <row r="8" customFormat="false" ht="15" hidden="false" customHeight="false" outlineLevel="0" collapsed="false">
      <c r="A8" s="4" t="s">
        <v>438</v>
      </c>
      <c r="B8" s="23" t="n">
        <v>200</v>
      </c>
      <c r="C8" s="2" t="s">
        <v>439</v>
      </c>
    </row>
    <row r="9" customFormat="false" ht="15" hidden="false" customHeight="false" outlineLevel="0" collapsed="false">
      <c r="A9" s="4" t="s">
        <v>394</v>
      </c>
      <c r="B9" s="53" t="n">
        <f aca="false">Courier_Hub!B23</f>
        <v>30</v>
      </c>
    </row>
    <row r="10" customFormat="false" ht="15" hidden="false" customHeight="false" outlineLevel="0" collapsed="false">
      <c r="A10" s="4" t="s">
        <v>440</v>
      </c>
      <c r="B10" s="17" t="n">
        <f aca="false">Courier_Hub!B22</f>
        <v>114</v>
      </c>
    </row>
    <row r="11" customFormat="false" ht="15" hidden="false" customHeight="false" outlineLevel="0" collapsed="false">
      <c r="A11" s="4" t="s">
        <v>56</v>
      </c>
      <c r="B11" s="25" t="n">
        <f aca="false">Supuestos!B5</f>
        <v>3.5</v>
      </c>
    </row>
    <row r="12" customFormat="false" ht="15" hidden="false" customHeight="false" outlineLevel="0" collapsed="false">
      <c r="A12" s="4" t="s">
        <v>386</v>
      </c>
      <c r="B12" s="54" t="n">
        <f aca="false">Courier_Hub!B19</f>
        <v>20</v>
      </c>
    </row>
    <row r="14" customFormat="false" ht="30" hidden="false" customHeight="true" outlineLevel="0" collapsed="false">
      <c r="A14" s="39" t="s">
        <v>18</v>
      </c>
      <c r="B14" s="39" t="s">
        <v>441</v>
      </c>
      <c r="C14" s="39" t="s">
        <v>442</v>
      </c>
      <c r="D14" s="39" t="s">
        <v>408</v>
      </c>
      <c r="E14" s="39" t="s">
        <v>443</v>
      </c>
      <c r="F14" s="39" t="s">
        <v>444</v>
      </c>
      <c r="G14" s="39" t="s">
        <v>445</v>
      </c>
    </row>
    <row r="15" customFormat="false" ht="15" hidden="false" customHeight="false" outlineLevel="0" collapsed="false">
      <c r="A15" s="4" t="s">
        <v>446</v>
      </c>
      <c r="B15" s="19" t="n">
        <v>0.6</v>
      </c>
      <c r="C15" s="7" t="n">
        <f aca="false">$B$4*($B$5+$B$6)*B15</f>
        <v>62</v>
      </c>
      <c r="D15" s="20" t="n">
        <v>12</v>
      </c>
      <c r="E15" s="7" t="n">
        <f aca="false">C15/D15</f>
        <v>5.16666666666667</v>
      </c>
      <c r="F15" s="49" t="n">
        <v>0.0077</v>
      </c>
      <c r="G15" s="55" t="n">
        <f aca="false">C15*F15</f>
        <v>0.4774</v>
      </c>
    </row>
    <row r="16" customFormat="false" ht="15" hidden="false" customHeight="false" outlineLevel="0" collapsed="false">
      <c r="A16" s="4" t="s">
        <v>447</v>
      </c>
      <c r="B16" s="19" t="n">
        <v>0.1</v>
      </c>
      <c r="C16" s="7" t="n">
        <f aca="false">$B$4*($B$5+$B$6)*B16</f>
        <v>10.3333333333333</v>
      </c>
      <c r="D16" s="20" t="n">
        <v>12</v>
      </c>
      <c r="E16" s="7" t="n">
        <f aca="false">C16/D16</f>
        <v>0.861111111111111</v>
      </c>
      <c r="F16" s="49" t="n">
        <v>0.0077</v>
      </c>
      <c r="G16" s="55" t="n">
        <f aca="false">C16*F16</f>
        <v>0.0795666666666667</v>
      </c>
    </row>
    <row r="17" customFormat="false" ht="15" hidden="false" customHeight="false" outlineLevel="0" collapsed="false">
      <c r="A17" s="4" t="s">
        <v>28</v>
      </c>
      <c r="B17" s="19" t="n">
        <v>0.12</v>
      </c>
      <c r="C17" s="7" t="n">
        <f aca="false">$B$4*($B$5+$B$6)*B17</f>
        <v>12.4</v>
      </c>
      <c r="D17" s="20" t="n">
        <v>6</v>
      </c>
      <c r="E17" s="7" t="n">
        <f aca="false">C17/D17</f>
        <v>2.06666666666667</v>
      </c>
      <c r="F17" s="49" t="n">
        <v>0.0242</v>
      </c>
      <c r="G17" s="55" t="n">
        <f aca="false">C17*F17</f>
        <v>0.30008</v>
      </c>
    </row>
    <row r="18" customFormat="false" ht="15" hidden="false" customHeight="false" outlineLevel="0" collapsed="false">
      <c r="A18" s="4" t="s">
        <v>29</v>
      </c>
      <c r="B18" s="19" t="n">
        <v>0.1</v>
      </c>
      <c r="C18" s="7" t="n">
        <f aca="false">$B$4*($B$5+$B$6)*B18</f>
        <v>10.3333333333333</v>
      </c>
      <c r="D18" s="20" t="n">
        <v>6</v>
      </c>
      <c r="E18" s="7" t="n">
        <f aca="false">C18/D18</f>
        <v>1.72222222222222</v>
      </c>
      <c r="F18" s="49" t="n">
        <v>0.0259</v>
      </c>
      <c r="G18" s="55" t="n">
        <f aca="false">C18*F18</f>
        <v>0.267633333333333</v>
      </c>
    </row>
    <row r="19" customFormat="false" ht="15" hidden="false" customHeight="false" outlineLevel="0" collapsed="false">
      <c r="A19" s="4" t="s">
        <v>30</v>
      </c>
      <c r="B19" s="19" t="n">
        <v>0.03</v>
      </c>
      <c r="C19" s="7" t="n">
        <f aca="false">$B$4*($B$5+$B$6)*B19</f>
        <v>3.1</v>
      </c>
      <c r="D19" s="20" t="n">
        <v>1</v>
      </c>
      <c r="E19" s="7" t="n">
        <f aca="false">C19/D19</f>
        <v>3.1</v>
      </c>
      <c r="F19" s="49" t="n">
        <v>0.0875</v>
      </c>
      <c r="G19" s="55" t="n">
        <f aca="false">C19*F19</f>
        <v>0.27125</v>
      </c>
    </row>
    <row r="20" customFormat="false" ht="15" hidden="false" customHeight="false" outlineLevel="0" collapsed="false">
      <c r="A20" s="4" t="s">
        <v>356</v>
      </c>
      <c r="B20" s="19" t="n">
        <v>0.05</v>
      </c>
      <c r="C20" s="7" t="n">
        <f aca="false">$B$4*($B$5+$B$6)*B20</f>
        <v>5.16666666666667</v>
      </c>
      <c r="D20" s="20" t="n">
        <v>11.5</v>
      </c>
      <c r="E20" s="7" t="n">
        <f aca="false">C20/D20</f>
        <v>0.449275362318841</v>
      </c>
      <c r="F20" s="49" t="n">
        <v>0.006</v>
      </c>
      <c r="G20" s="55" t="n">
        <f aca="false">C20*F20</f>
        <v>0.031</v>
      </c>
    </row>
    <row r="21" customFormat="false" ht="15" hidden="false" customHeight="false" outlineLevel="0" collapsed="false">
      <c r="A21" s="8" t="s">
        <v>285</v>
      </c>
      <c r="B21" s="50" t="n">
        <f aca="false">SUM(B15:B20)</f>
        <v>1</v>
      </c>
      <c r="C21" s="56" t="n">
        <f aca="false">SUM(C15:C20)</f>
        <v>103.333333333333</v>
      </c>
      <c r="E21" s="56" t="n">
        <f aca="false">SUM(E15:E20)</f>
        <v>13.3659420289855</v>
      </c>
      <c r="G21" s="57" t="n">
        <f aca="false">SUM(G15:G20)</f>
        <v>1.42693</v>
      </c>
    </row>
    <row r="23" customFormat="false" ht="15" hidden="false" customHeight="false" outlineLevel="0" collapsed="false">
      <c r="A23" s="11" t="s">
        <v>448</v>
      </c>
      <c r="B23" s="12"/>
      <c r="C23" s="12"/>
      <c r="D23" s="12"/>
      <c r="E23" s="12"/>
      <c r="F23" s="12"/>
      <c r="G23" s="12"/>
    </row>
    <row r="24" customFormat="false" ht="15" hidden="false" customHeight="false" outlineLevel="0" collapsed="false">
      <c r="A24" s="4" t="s">
        <v>449</v>
      </c>
      <c r="B24" s="7" t="n">
        <f aca="false">MAX($B$7,E21/$B$9)</f>
        <v>1</v>
      </c>
    </row>
    <row r="25" customFormat="false" ht="15" hidden="false" customHeight="false" outlineLevel="0" collapsed="false">
      <c r="A25" s="4" t="s">
        <v>450</v>
      </c>
      <c r="B25" s="6" t="n">
        <f aca="false">B24*$B$10</f>
        <v>114</v>
      </c>
    </row>
    <row r="26" customFormat="false" ht="15" hidden="false" customHeight="false" outlineLevel="0" collapsed="false">
      <c r="A26" s="4" t="s">
        <v>451</v>
      </c>
      <c r="B26" s="7" t="n">
        <f aca="false">30/$B$5</f>
        <v>1.07142857142857</v>
      </c>
    </row>
    <row r="27" customFormat="false" ht="15" hidden="false" customHeight="false" outlineLevel="0" collapsed="false">
      <c r="A27" s="4" t="s">
        <v>452</v>
      </c>
      <c r="B27" s="6" t="n">
        <f aca="false">B25*B26</f>
        <v>122.142857142857</v>
      </c>
    </row>
    <row r="28" customFormat="false" ht="15" hidden="false" customHeight="false" outlineLevel="0" collapsed="false">
      <c r="A28" s="4" t="s">
        <v>453</v>
      </c>
      <c r="B28" s="6" t="n">
        <f aca="false">$B$8*B26</f>
        <v>214.285714285714</v>
      </c>
    </row>
    <row r="29" customFormat="false" ht="15" hidden="false" customHeight="false" outlineLevel="0" collapsed="false">
      <c r="A29" s="4" t="s">
        <v>454</v>
      </c>
      <c r="B29" s="6" t="n">
        <f aca="false">G21*$B$12*$B$11</f>
        <v>99.8851</v>
      </c>
    </row>
    <row r="30" customFormat="false" ht="15" hidden="false" customHeight="false" outlineLevel="0" collapsed="false">
      <c r="A30" s="8" t="s">
        <v>455</v>
      </c>
      <c r="B30" s="40" t="n">
        <f aca="false">B27+B28+B29</f>
        <v>436.313671428571</v>
      </c>
    </row>
    <row r="31" customFormat="false" ht="15" hidden="false" customHeight="false" outlineLevel="0" collapsed="false">
      <c r="A31" s="4" t="s">
        <v>456</v>
      </c>
      <c r="B31" s="14" t="n">
        <f aca="false">B4*30</f>
        <v>100</v>
      </c>
    </row>
    <row r="32" customFormat="false" ht="15" hidden="false" customHeight="false" outlineLevel="0" collapsed="false">
      <c r="A32" s="4" t="s">
        <v>457</v>
      </c>
      <c r="B32" s="6" t="n">
        <f aca="false">Courier_Hub!B11*MAX(Courier_Hub!B25,B31)</f>
        <v>825</v>
      </c>
    </row>
    <row r="33" customFormat="false" ht="15" hidden="false" customHeight="false" outlineLevel="0" collapsed="false">
      <c r="A33" s="8" t="s">
        <v>458</v>
      </c>
      <c r="B33" s="43" t="n">
        <f aca="false">(B30+B32)/B31</f>
        <v>12.6131367142857</v>
      </c>
    </row>
    <row r="34" customFormat="false" ht="15" hidden="false" customHeight="false" outlineLevel="0" collapsed="false">
      <c r="A34" s="4" t="s">
        <v>459</v>
      </c>
      <c r="B34" s="37" t="n">
        <f aca="false">(Supuestos!B16*B31+Supuestos!B36)/B31</f>
        <v>7.5</v>
      </c>
    </row>
    <row r="35" customFormat="false" ht="15" hidden="false" customHeight="false" outlineLevel="0" collapsed="false">
      <c r="A35" s="8" t="s">
        <v>460</v>
      </c>
      <c r="B35" s="47" t="n">
        <f aca="false">B33-B34</f>
        <v>5.11313671428572</v>
      </c>
    </row>
    <row r="37" customFormat="false" ht="15" hidden="false" customHeight="false" outlineLevel="0" collapsed="false">
      <c r="A37" s="2" t="s">
        <v>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462</v>
      </c>
    </row>
    <row r="2" customFormat="false" ht="15" hidden="false" customHeight="false" outlineLevel="0" collapsed="false">
      <c r="A2" s="2" t="s">
        <v>463</v>
      </c>
    </row>
    <row r="4" customFormat="false" ht="30" hidden="false" customHeight="true" outlineLevel="0" collapsed="false">
      <c r="A4" s="39" t="s">
        <v>18</v>
      </c>
      <c r="B4" s="39" t="s">
        <v>289</v>
      </c>
      <c r="C4" s="39" t="s">
        <v>276</v>
      </c>
      <c r="D4" s="39" t="s">
        <v>277</v>
      </c>
    </row>
    <row r="5" customFormat="false" ht="15" hidden="false" customHeight="false" outlineLevel="0" collapsed="false">
      <c r="A5" s="4" t="s">
        <v>464</v>
      </c>
      <c r="B5" s="15" t="n">
        <v>1008</v>
      </c>
      <c r="C5" s="33" t="n">
        <v>4.9</v>
      </c>
      <c r="D5" s="37" t="n">
        <f aca="false">B5*C5</f>
        <v>4939.2</v>
      </c>
    </row>
    <row r="6" customFormat="false" ht="15" hidden="false" customHeight="false" outlineLevel="0" collapsed="false">
      <c r="A6" s="4" t="s">
        <v>465</v>
      </c>
      <c r="B6" s="15" t="n">
        <v>1000</v>
      </c>
      <c r="C6" s="33" t="n">
        <v>0.55</v>
      </c>
      <c r="D6" s="37" t="n">
        <f aca="false">B6*C6</f>
        <v>550</v>
      </c>
    </row>
    <row r="7" customFormat="false" ht="15" hidden="false" customHeight="false" outlineLevel="0" collapsed="false">
      <c r="A7" s="4" t="s">
        <v>466</v>
      </c>
      <c r="B7" s="15" t="n">
        <v>500</v>
      </c>
      <c r="C7" s="33" t="n">
        <v>3.55</v>
      </c>
      <c r="D7" s="37" t="n">
        <f aca="false">B7*C7</f>
        <v>1775</v>
      </c>
    </row>
    <row r="8" customFormat="false" ht="15" hidden="false" customHeight="false" outlineLevel="0" collapsed="false">
      <c r="A8" s="4" t="s">
        <v>467</v>
      </c>
      <c r="B8" s="15" t="n">
        <v>5</v>
      </c>
      <c r="C8" s="33" t="n">
        <v>15</v>
      </c>
      <c r="D8" s="37" t="n">
        <f aca="false">B8*C8</f>
        <v>75</v>
      </c>
    </row>
    <row r="9" customFormat="false" ht="15" hidden="false" customHeight="false" outlineLevel="0" collapsed="false">
      <c r="A9" s="4" t="s">
        <v>468</v>
      </c>
      <c r="B9" s="15" t="n">
        <v>1</v>
      </c>
      <c r="C9" s="33" t="n">
        <v>665</v>
      </c>
      <c r="D9" s="37" t="n">
        <f aca="false">B9*C9</f>
        <v>665</v>
      </c>
    </row>
    <row r="10" customFormat="false" ht="15" hidden="false" customHeight="false" outlineLevel="0" collapsed="false">
      <c r="A10" s="8" t="s">
        <v>469</v>
      </c>
      <c r="D10" s="43" t="n">
        <f aca="false">SUM(D5:D9)</f>
        <v>8004.2</v>
      </c>
    </row>
    <row r="11" customFormat="false" ht="15" hidden="false" customHeight="false" outlineLevel="0" collapsed="false">
      <c r="A11" s="2" t="s">
        <v>470</v>
      </c>
    </row>
    <row r="13" customFormat="false" ht="15" hidden="false" customHeight="false" outlineLevel="0" collapsed="false">
      <c r="A13" s="11" t="s">
        <v>471</v>
      </c>
    </row>
    <row r="14" customFormat="false" ht="15" hidden="false" customHeight="false" outlineLevel="0" collapsed="false">
      <c r="A14" s="4" t="s">
        <v>472</v>
      </c>
      <c r="B14" s="33" t="n">
        <v>1135.87</v>
      </c>
    </row>
    <row r="15" customFormat="false" ht="15" hidden="false" customHeight="false" outlineLevel="0" collapsed="false">
      <c r="A15" s="4" t="s">
        <v>473</v>
      </c>
      <c r="B15" s="33" t="n">
        <v>135.13</v>
      </c>
    </row>
    <row r="16" customFormat="false" ht="15" hidden="false" customHeight="false" outlineLevel="0" collapsed="false">
      <c r="A16" s="4" t="s">
        <v>474</v>
      </c>
      <c r="B16" s="33" t="n">
        <v>1720</v>
      </c>
    </row>
    <row r="17" customFormat="false" ht="15" hidden="false" customHeight="false" outlineLevel="0" collapsed="false">
      <c r="A17" s="4" t="s">
        <v>475</v>
      </c>
      <c r="B17" s="33" t="n">
        <v>309.6</v>
      </c>
    </row>
    <row r="18" customFormat="false" ht="15" hidden="false" customHeight="false" outlineLevel="0" collapsed="false">
      <c r="A18" s="4" t="s">
        <v>476</v>
      </c>
      <c r="B18" s="33" t="n">
        <v>5961</v>
      </c>
    </row>
    <row r="19" customFormat="false" ht="15" hidden="false" customHeight="false" outlineLevel="0" collapsed="false">
      <c r="A19" s="4" t="s">
        <v>477</v>
      </c>
      <c r="B19" s="34" t="n">
        <v>1</v>
      </c>
    </row>
    <row r="20" customFormat="false" ht="15" hidden="false" customHeight="false" outlineLevel="0" collapsed="false">
      <c r="A20" s="4" t="s">
        <v>189</v>
      </c>
      <c r="B20" s="25" t="n">
        <f aca="false">Supuestos!B5</f>
        <v>3.5</v>
      </c>
    </row>
    <row r="21" customFormat="false" ht="15" hidden="false" customHeight="false" outlineLevel="0" collapsed="false">
      <c r="A21" s="2" t="s">
        <v>478</v>
      </c>
    </row>
    <row r="23" customFormat="false" ht="15" hidden="false" customHeight="false" outlineLevel="0" collapsed="false">
      <c r="A23" s="11" t="s">
        <v>2</v>
      </c>
    </row>
    <row r="24" customFormat="false" ht="15" hidden="false" customHeight="false" outlineLevel="0" collapsed="false">
      <c r="A24" s="4" t="s">
        <v>479</v>
      </c>
      <c r="B24" s="37" t="n">
        <f aca="false">D10*B20</f>
        <v>28014.7</v>
      </c>
    </row>
    <row r="25" customFormat="false" ht="15" hidden="false" customHeight="false" outlineLevel="0" collapsed="false">
      <c r="A25" s="4" t="s">
        <v>480</v>
      </c>
      <c r="B25" s="37" t="n">
        <f aca="false">B14*B20</f>
        <v>3975.545</v>
      </c>
    </row>
    <row r="26" customFormat="false" ht="15" hidden="false" customHeight="false" outlineLevel="0" collapsed="false">
      <c r="A26" s="4" t="s">
        <v>481</v>
      </c>
      <c r="B26" s="37" t="n">
        <f aca="false">B16+B17</f>
        <v>2029.6</v>
      </c>
    </row>
    <row r="27" customFormat="false" ht="15" hidden="false" customHeight="false" outlineLevel="0" collapsed="false">
      <c r="A27" s="4" t="s">
        <v>336</v>
      </c>
      <c r="B27" s="37" t="n">
        <f aca="false">B18</f>
        <v>5961</v>
      </c>
    </row>
    <row r="28" customFormat="false" ht="15" hidden="false" customHeight="false" outlineLevel="0" collapsed="false">
      <c r="A28" s="8" t="s">
        <v>482</v>
      </c>
      <c r="B28" s="43" t="n">
        <f aca="false">SUM(B24:B27)</f>
        <v>39980.845</v>
      </c>
    </row>
    <row r="29" customFormat="false" ht="15" hidden="false" customHeight="false" outlineLevel="0" collapsed="false">
      <c r="A29" s="4" t="s">
        <v>483</v>
      </c>
      <c r="B29" s="37" t="n">
        <f aca="false">B19*(B18+B17+B15*B20)</f>
        <v>6743.555</v>
      </c>
    </row>
    <row r="30" customFormat="false" ht="15" hidden="false" customHeight="false" outlineLevel="0" collapsed="false">
      <c r="A30" s="8" t="s">
        <v>344</v>
      </c>
      <c r="B30" s="47" t="n">
        <f aca="false">B28-B29</f>
        <v>33237.29</v>
      </c>
    </row>
    <row r="31" customFormat="false" ht="15" hidden="false" customHeight="false" outlineLevel="0" collapsed="false">
      <c r="A31" s="4" t="s">
        <v>345</v>
      </c>
      <c r="B31" s="37" t="n">
        <f aca="false">B30/B20</f>
        <v>9496.36857142857</v>
      </c>
    </row>
    <row r="33" customFormat="false" ht="15" hidden="false" customHeight="false" outlineLevel="0" collapsed="false">
      <c r="A33" s="11" t="s">
        <v>484</v>
      </c>
    </row>
    <row r="34" customFormat="false" ht="30" hidden="false" customHeight="true" outlineLevel="0" collapsed="false">
      <c r="A34" s="39" t="s">
        <v>18</v>
      </c>
      <c r="B34" s="39" t="s">
        <v>485</v>
      </c>
      <c r="C34" s="39" t="s">
        <v>486</v>
      </c>
      <c r="D34" s="39" t="s">
        <v>487</v>
      </c>
      <c r="E34" s="39" t="s">
        <v>275</v>
      </c>
      <c r="F34" s="39" t="s">
        <v>488</v>
      </c>
    </row>
    <row r="35" customFormat="false" ht="15" hidden="false" customHeight="false" outlineLevel="0" collapsed="false">
      <c r="A35" s="4" t="s">
        <v>489</v>
      </c>
      <c r="B35" s="37" t="n">
        <f aca="false">D5</f>
        <v>4939.2</v>
      </c>
      <c r="C35" s="28" t="n">
        <f aca="false">B35/SUM($B$35:$B$37)</f>
        <v>0.679937226397952</v>
      </c>
      <c r="D35" s="37" t="n">
        <f aca="false">C35*$B$30</f>
        <v>22599.2707755844</v>
      </c>
      <c r="E35" s="14" t="n">
        <f aca="false">B5</f>
        <v>1008</v>
      </c>
      <c r="F35" s="47" t="n">
        <f aca="false">D35/E35</f>
        <v>22.4199114837147</v>
      </c>
    </row>
    <row r="36" customFormat="false" ht="15" hidden="false" customHeight="false" outlineLevel="0" collapsed="false">
      <c r="A36" s="4" t="s">
        <v>490</v>
      </c>
      <c r="B36" s="37" t="n">
        <f aca="false">D6</f>
        <v>550</v>
      </c>
      <c r="C36" s="28" t="n">
        <f aca="false">B36/SUM($B$35:$B$37)</f>
        <v>0.0757137744004846</v>
      </c>
      <c r="D36" s="37" t="n">
        <f aca="false">C36*$B$30</f>
        <v>2516.52067674348</v>
      </c>
      <c r="E36" s="14" t="n">
        <f aca="false">B6</f>
        <v>1000</v>
      </c>
      <c r="F36" s="47" t="n">
        <f aca="false">D36/E36</f>
        <v>2.51652067674348</v>
      </c>
    </row>
    <row r="37" customFormat="false" ht="15" hidden="false" customHeight="false" outlineLevel="0" collapsed="false">
      <c r="A37" s="4" t="s">
        <v>491</v>
      </c>
      <c r="B37" s="37" t="n">
        <f aca="false">D7</f>
        <v>1775</v>
      </c>
      <c r="C37" s="28" t="n">
        <f aca="false">B37/SUM($B$35:$B$37)</f>
        <v>0.244348999201564</v>
      </c>
      <c r="D37" s="37" t="n">
        <f aca="false">C37*$B$30</f>
        <v>8121.49854767215</v>
      </c>
      <c r="E37" s="14" t="n">
        <f aca="false">B7</f>
        <v>500</v>
      </c>
      <c r="F37" s="47" t="n">
        <f aca="false">D37/E37</f>
        <v>16.2429970953443</v>
      </c>
    </row>
    <row r="38" customFormat="false" ht="15" hidden="false" customHeight="false" outlineLevel="0" collapsed="false">
      <c r="A38" s="8" t="s">
        <v>285</v>
      </c>
      <c r="B38" s="43" t="n">
        <f aca="false">SUM(B35:B37)</f>
        <v>7264.2</v>
      </c>
      <c r="C38" s="50" t="n">
        <f aca="false">SUM(C35:C37)</f>
        <v>1</v>
      </c>
      <c r="D38" s="43" t="n">
        <f aca="false">SUM(D35:D37)</f>
        <v>33237.29</v>
      </c>
    </row>
    <row r="39" customFormat="false" ht="15" hidden="false" customHeight="false" outlineLevel="0" collapsed="false">
      <c r="A39" s="2" t="s">
        <v>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2026-10-19T22:20:54Z</dcterms:created>
  <dc:creator>openpyxl</dc:creator>
  <dc:description/>
  <dc:language>en-US</dc:language>
  <cp:lastModifiedBy/>
  <dcterms:modified xsi:type="dcterms:W3CDTF">2026-10-19T22:20:56Z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