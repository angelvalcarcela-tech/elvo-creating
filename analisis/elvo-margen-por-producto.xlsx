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sto_Lim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<sst xmlns="http://schemas.openxmlformats.org/spreadsheetml/2006/main" count="274" uniqueCount="229">
  <si>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</si>
  <si>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</si>
  <si>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</si>
  <si>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</si>
  <si>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</si>
  <si>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</si>
  <si>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</si>
  <si>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</si>
  <si>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</si>
  <si>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</si>
  <si>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</si>
  <si>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</si>
  <si>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</si>
  <si>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</si>
  <si>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</si>
  <si>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</si>
  <si>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</si>
  <si>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</si>
  <si>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</si>
  <si>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</si>
  <si>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</si>
  <si>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</si>
  <si>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Dato del usuario (85%).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</si>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</sst>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172.231725671046</v>
      </c>
      <c r="D5" s="6" t="n">
        <f aca="false">Desglose!B23</f>
        <v>141.231725671046</v>
      </c>
      <c r="E5" s="7" t="n">
        <f aca="false">Desglose!B24</f>
        <v>0.472346908598816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204.827407248356</v>
      </c>
      <c r="D6" s="6" t="n">
        <f aca="false">Desglose!C23</f>
        <v>173.827407248356</v>
      </c>
      <c r="E6" s="7" t="n">
        <f aca="false">Desglose!C24</f>
        <v>0.498072800138557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235.284046250435</v>
      </c>
      <c r="D7" s="6" t="n">
        <f aca="false">Desglose!D23</f>
        <v>204.284046250435</v>
      </c>
      <c r="E7" s="7" t="n">
        <f aca="false">Desglose!D24</f>
        <v>0.51199009085322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102.762277365961</v>
      </c>
      <c r="D8" s="6" t="n">
        <f aca="false">Desglose!E23</f>
        <v>71.7622773659612</v>
      </c>
      <c r="E8" s="7" t="n">
        <f aca="false">Desglose!E24</f>
        <v>0.360614459125433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135.357958943272</v>
      </c>
      <c r="D9" s="6" t="n">
        <f aca="false">Desglose!F23</f>
        <v>104.357958943272</v>
      </c>
      <c r="E9" s="7" t="n">
        <f aca="false">Desglose!F24</f>
        <v>0.41910826884848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186.655432436876</v>
      </c>
      <c r="D10" s="6" t="n">
        <f aca="false">Desglose!G23</f>
        <v>155.655432436876</v>
      </c>
      <c r="E10" s="7" t="n">
        <f aca="false">Desglose!G24</f>
        <v>0.473116815917555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38.5432062909913</v>
      </c>
      <c r="D11" s="6" t="n">
        <f aca="false">Desglose!H23</f>
        <v>7.54320629099126</v>
      </c>
      <c r="E11" s="7" t="n">
        <f aca="false">Desglose!H24</f>
        <v>0.0761940029393056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24.7366587599486</v>
      </c>
      <c r="D12" s="6" t="n">
        <f aca="false">Desglose!I23</f>
        <v>-6.26334124005139</v>
      </c>
      <c r="E12" s="7" t="n">
        <f aca="false">Desglose!I24</f>
        <v>-0.0632660731318322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52.6991223419311</v>
      </c>
      <c r="D13" s="6" t="n">
        <f aca="false">Desglose!J23</f>
        <v>21.6991223419311</v>
      </c>
      <c r="E13" s="7" t="n">
        <f aca="false">Desglose!J24</f>
        <v>0.121224147161626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73.7146410934052</v>
      </c>
      <c r="D14" s="6" t="n">
        <f aca="false">Desglose!K23</f>
        <v>42.7146410934052</v>
      </c>
      <c r="E14" s="7" t="n">
        <f aca="false">Desglose!K24</f>
        <v>0.171544743347009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119.680159551887</v>
      </c>
      <c r="D15" s="6" t="n">
        <f aca="false">Desglose!L23</f>
        <v>119.680159551887</v>
      </c>
      <c r="E15" s="7" t="n">
        <f aca="false">Desglose!L24</f>
        <v>0.601407836944154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50.210711246802</v>
      </c>
      <c r="D16" s="6" t="n">
        <f aca="false">Desglose!M23</f>
        <v>50.210711246802</v>
      </c>
      <c r="E16" s="7" t="n">
        <f aca="false">Desglose!M24</f>
        <v>0.507178901482848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3.80848213844888</v>
      </c>
      <c r="D17" s="6" t="n">
        <f aca="false">Desglose!N23</f>
        <v>3.80848213844888</v>
      </c>
      <c r="E17" s="7" t="n">
        <f aca="false">Desglose!N24</f>
        <v>0.077724125274467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0.85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-33.217363353714</v>
      </c>
      <c r="C20" s="24" t="n">
        <f aca="false">-(1-Supuestos!$B$7)*(C14+C15+C16)</f>
        <v>-38.9695424555923</v>
      </c>
      <c r="D20" s="24" t="n">
        <f aca="false">-(1-Supuestos!$B$7)*(D14+D15+D16)</f>
        <v>-44.3442434559591</v>
      </c>
      <c r="E20" s="24" t="n">
        <f aca="false">-(1-Supuestos!$B$7)*(E14+E15+E16)</f>
        <v>-20.9580489469343</v>
      </c>
      <c r="F20" s="24" t="n">
        <f aca="false">-(1-Supuestos!$B$7)*(F14+F15+F16)</f>
        <v>-26.7102280488126</v>
      </c>
      <c r="G20" s="24" t="n">
        <f aca="false">-(1-Supuestos!$B$7)*(G14+G15+G16)</f>
        <v>-35.7627233712133</v>
      </c>
      <c r="H20" s="24" t="n">
        <f aca="false">-(1-Supuestos!$B$7)*(H14+H15+H16)</f>
        <v>-9.62527169841022</v>
      </c>
      <c r="I20" s="24" t="n">
        <f aca="false">-(1-Supuestos!$B$7)*(I14+I15+I16)</f>
        <v>-7.18882213410858</v>
      </c>
      <c r="J20" s="24" t="n">
        <f aca="false">-(1-Supuestos!$B$7)*(J14+J15+J16)</f>
        <v>-12.123374530929</v>
      </c>
      <c r="K20" s="24" t="n">
        <f aca="false">-(1-Supuestos!$B$7)*(K14+K15+K16)</f>
        <v>-15.8319954870715</v>
      </c>
      <c r="L20" s="24" t="n">
        <f aca="false">-(1-Supuestos!$B$7)*(L14+L15+L16)</f>
        <v>-23.94355756798</v>
      </c>
      <c r="M20" s="24" t="n">
        <f aca="false">-(1-Supuestos!$B$7)*(M14+M15+M16)</f>
        <v>-11.6842431612003</v>
      </c>
      <c r="N20" s="24" t="n">
        <f aca="false">-(1-Supuestos!$B$7)*(N14+N15+N16)</f>
        <v>-3.49561449502039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172.231725671046</v>
      </c>
      <c r="C21" s="26" t="n">
        <f aca="false">C19+C20</f>
        <v>204.827407248356</v>
      </c>
      <c r="D21" s="26" t="n">
        <f aca="false">D19+D20</f>
        <v>235.284046250435</v>
      </c>
      <c r="E21" s="26" t="n">
        <f aca="false">E19+E20</f>
        <v>102.762277365961</v>
      </c>
      <c r="F21" s="26" t="n">
        <f aca="false">F19+F20</f>
        <v>135.357958943272</v>
      </c>
      <c r="G21" s="26" t="n">
        <f aca="false">G19+G20</f>
        <v>186.655432436876</v>
      </c>
      <c r="H21" s="26" t="n">
        <f aca="false">H19+H20</f>
        <v>38.5432062909913</v>
      </c>
      <c r="I21" s="26" t="n">
        <f aca="false">I19+I20</f>
        <v>24.7366587599486</v>
      </c>
      <c r="J21" s="26" t="n">
        <f aca="false">J19+J20</f>
        <v>52.6991223419311</v>
      </c>
      <c r="K21" s="26" t="n">
        <f aca="false">K19+K20</f>
        <v>73.7146410934052</v>
      </c>
      <c r="L21" s="26" t="n">
        <f aca="false">L19+L20</f>
        <v>119.680159551887</v>
      </c>
      <c r="M21" s="26" t="n">
        <f aca="false">M19+M20</f>
        <v>50.210711246802</v>
      </c>
      <c r="N21" s="26" t="n">
        <f aca="false">N19+N20</f>
        <v>3.80848213844888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141.231725671046</v>
      </c>
      <c r="C23" s="27" t="n">
        <f aca="false">C21+C22</f>
        <v>173.827407248356</v>
      </c>
      <c r="D23" s="27" t="n">
        <f aca="false">D21+D22</f>
        <v>204.284046250435</v>
      </c>
      <c r="E23" s="27" t="n">
        <f aca="false">E21+E22</f>
        <v>71.7622773659612</v>
      </c>
      <c r="F23" s="27" t="n">
        <f aca="false">F21+F22</f>
        <v>104.357958943272</v>
      </c>
      <c r="G23" s="27" t="n">
        <f aca="false">G21+G22</f>
        <v>155.655432436876</v>
      </c>
      <c r="H23" s="27" t="n">
        <f aca="false">H21+H22</f>
        <v>7.54320629099126</v>
      </c>
      <c r="I23" s="27" t="n">
        <f aca="false">I21+I22</f>
        <v>-6.26334124005139</v>
      </c>
      <c r="J23" s="27" t="n">
        <f aca="false">J21+J22</f>
        <v>21.6991223419311</v>
      </c>
      <c r="K23" s="27" t="n">
        <f aca="false">K21+K22</f>
        <v>42.7146410934052</v>
      </c>
      <c r="L23" s="27" t="n">
        <f aca="false">L21+L22</f>
        <v>119.680159551887</v>
      </c>
      <c r="M23" s="27" t="n">
        <f aca="false">M21+M22</f>
        <v>50.210711246802</v>
      </c>
      <c r="N23" s="27" t="n">
        <f aca="false">N21+N22</f>
        <v>3.80848213844888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0.472346908598816</v>
      </c>
      <c r="C24" s="19" t="n">
        <f aca="false">C23/C5</f>
        <v>0.498072800138557</v>
      </c>
      <c r="D24" s="19" t="n">
        <f aca="false">D23/D5</f>
        <v>0.51199009085322</v>
      </c>
      <c r="E24" s="19" t="n">
        <f aca="false">E23/E5</f>
        <v>0.360614459125433</v>
      </c>
      <c r="F24" s="19" t="n">
        <f aca="false">F23/F5</f>
        <v>0.41910826884848</v>
      </c>
      <c r="G24" s="19" t="n">
        <f aca="false">G23/G5</f>
        <v>0.473116815917555</v>
      </c>
      <c r="H24" s="19" t="n">
        <f aca="false">H23/H5</f>
        <v>0.0761940029393056</v>
      </c>
      <c r="I24" s="19" t="n">
        <f aca="false">I23/I5</f>
        <v>-0.0632660731318322</v>
      </c>
      <c r="J24" s="19" t="n">
        <f aca="false">J23/J5</f>
        <v>0.121224147161626</v>
      </c>
      <c r="K24" s="19" t="n">
        <f aca="false">K23/K5</f>
        <v>0.171544743347009</v>
      </c>
      <c r="L24" s="19" t="n">
        <f aca="false">L23/L5</f>
        <v>0.601407836944154</v>
      </c>
      <c r="M24" s="19" t="n">
        <f aca="false">M23/M5</f>
        <v>0.507178901482848</v>
      </c>
      <c r="N24" s="19" t="n">
        <f aca="false">N23/N5</f>
        <v>0.077724125274467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137.231725671046</v>
      </c>
      <c r="C26" s="26" t="n">
        <f aca="false">C23+C25</f>
        <v>169.827407248356</v>
      </c>
      <c r="D26" s="26" t="n">
        <f aca="false">D23+D25</f>
        <v>200.284046250435</v>
      </c>
      <c r="E26" s="26" t="n">
        <f aca="false">E23+E25</f>
        <v>67.7622773659612</v>
      </c>
      <c r="F26" s="26" t="n">
        <f aca="false">F23+F25</f>
        <v>100.357958943272</v>
      </c>
      <c r="G26" s="26" t="n">
        <f aca="false">G23+G25</f>
        <v>151.655432436876</v>
      </c>
      <c r="H26" s="26" t="n">
        <f aca="false">H23+H25</f>
        <v>3.54320629099126</v>
      </c>
      <c r="I26" s="26" t="n">
        <f aca="false">I23+I25</f>
        <v>-10.2633412400514</v>
      </c>
      <c r="J26" s="26" t="n">
        <f aca="false">J23+J25</f>
        <v>17.6991223419311</v>
      </c>
      <c r="K26" s="26" t="n">
        <f aca="false">K23+K25</f>
        <v>38.7146410934052</v>
      </c>
      <c r="L26" s="26" t="n">
        <f aca="false">L23+L25</f>
        <v>115.680159551887</v>
      </c>
      <c r="M26" s="26" t="n">
        <f aca="false">M23+M25</f>
        <v>46.210711246802</v>
      </c>
      <c r="N26" s="26" t="n">
        <f aca="false">N23+N25</f>
        <v>-0.191517861551117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185.593220338983</v>
      </c>
      <c r="C81" s="24" t="n">
        <f aca="false">C80/(1+Supuestos!$B$4)</f>
        <v>134.745762711864</v>
      </c>
      <c r="D81" s="24" t="n">
        <f aca="false">D80/(1+Supuestos!$B$4)</f>
        <v>72.0338983050848</v>
      </c>
      <c r="E81" s="24" t="n">
        <f aca="false">E80/(1+Supuestos!$B$4)</f>
        <v>1948.30508474576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-7.10723</v>
      </c>
      <c r="C83" s="6" t="n">
        <f aca="false">-(C80*Supuestos!$B$31+Supuestos!$B$32)</f>
        <v>-5.29703</v>
      </c>
      <c r="D83" s="6" t="n">
        <f aca="false">-(D80*Supuestos!$B$31+Supuestos!$B$32)</f>
        <v>-3.06445</v>
      </c>
      <c r="E83" s="6" t="n">
        <f aca="false">-(E80*Supuestos!$B$31+Supuestos!$B$32)</f>
        <v>-69.86083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191</v>
      </c>
      <c r="B86" s="24" t="n">
        <f aca="false">-B80*B94</f>
        <v>-0</v>
      </c>
      <c r="C86" s="24" t="n">
        <f aca="false">-C80*C94</f>
        <v>-0</v>
      </c>
      <c r="D86" s="24" t="n">
        <f aca="false">-D80*D94</f>
        <v>-0</v>
      </c>
      <c r="E86" s="24" t="n">
        <f aca="false">-E80*E94</f>
        <v>-91.96</v>
      </c>
    </row>
    <row r="87" customFormat="false" ht="15" hidden="false" customHeight="false" outlineLevel="0" collapsed="false">
      <c r="A87" s="10" t="s">
        <v>90</v>
      </c>
      <c r="B87" s="26" t="n">
        <f aca="false">SUM(B81:B86)</f>
        <v>114.937038961209</v>
      </c>
      <c r="C87" s="26" t="n">
        <f aca="false">SUM(C81:C86)</f>
        <v>73.6071409887997</v>
      </c>
      <c r="D87" s="26" t="n">
        <f aca="false">SUM(D81:D86)</f>
        <v>42.0625714410721</v>
      </c>
      <c r="E87" s="26" t="n">
        <f aca="false">SUM(E81:E86)</f>
        <v>1135.36118184947</v>
      </c>
    </row>
    <row r="88" customFormat="false" ht="15" hidden="false" customHeight="false" outlineLevel="0" collapsed="false">
      <c r="A88" s="10" t="s">
        <v>91</v>
      </c>
      <c r="B88" s="24" t="n">
        <f aca="false">-(1-Supuestos!$B$7)*(B81+B82+B83+B86)</f>
        <v>-19.6405558441814</v>
      </c>
      <c r="C88" s="24" t="n">
        <f aca="false">-(1-Supuestos!$B$7)*(C81+C82+C83+C86)</f>
        <v>-13.44107114832</v>
      </c>
      <c r="D88" s="24" t="n">
        <f aca="false">-(1-Supuestos!$B$7)*(D81+D82+D83+D86)</f>
        <v>-8.70938571616081</v>
      </c>
      <c r="E88" s="24" t="n">
        <f aca="false">-(1-Supuestos!$B$7)*(E81+E82+E83+E86)</f>
        <v>-172.70417727742</v>
      </c>
    </row>
    <row r="89" customFormat="false" ht="15" hidden="false" customHeight="false" outlineLevel="0" collapsed="false">
      <c r="A89" s="25" t="s">
        <v>92</v>
      </c>
      <c r="B89" s="26" t="n">
        <f aca="false">B87+B88</f>
        <v>95.2964831170279</v>
      </c>
      <c r="C89" s="26" t="n">
        <f aca="false">C87+C88</f>
        <v>60.1660698404797</v>
      </c>
      <c r="D89" s="26" t="n">
        <f aca="false">D87+D88</f>
        <v>33.3531857249113</v>
      </c>
      <c r="E89" s="26" t="n">
        <f aca="false">E87+E88</f>
        <v>962.657004572045</v>
      </c>
    </row>
    <row r="90" customFormat="false" ht="15" hidden="false" customHeight="false" outlineLevel="0" collapsed="false">
      <c r="A90" s="10" t="s">
        <v>192</v>
      </c>
      <c r="B90" s="6" t="n">
        <f aca="false">-Supuestos!$B$6*B95</f>
        <v>-31</v>
      </c>
      <c r="C90" s="6" t="n">
        <f aca="false">-Supuestos!$B$6*C95</f>
        <v>-31</v>
      </c>
      <c r="D90" s="6" t="n">
        <f aca="false">-Supuestos!$B$6*D95</f>
        <v>-0</v>
      </c>
      <c r="E90" s="6" t="n">
        <f aca="false">-Supuestos!$B$6*E95</f>
        <v>-31</v>
      </c>
    </row>
    <row r="91" customFormat="false" ht="15" hidden="false" customHeight="false" outlineLevel="0" collapsed="false">
      <c r="A91" s="25" t="s">
        <v>94</v>
      </c>
      <c r="B91" s="27" t="n">
        <f aca="false">B89+B90</f>
        <v>64.2964831170279</v>
      </c>
      <c r="C91" s="27" t="n">
        <f aca="false">C89+C90</f>
        <v>29.1660698404797</v>
      </c>
      <c r="D91" s="27" t="n">
        <f aca="false">D89+D90</f>
        <v>33.3531857249113</v>
      </c>
      <c r="E91" s="27" t="n">
        <f aca="false">E89+E90</f>
        <v>931.657004572045</v>
      </c>
    </row>
    <row r="92" customFormat="false" ht="15" hidden="false" customHeight="false" outlineLevel="0" collapsed="false">
      <c r="A92" s="10" t="s">
        <v>95</v>
      </c>
      <c r="B92" s="19" t="n">
        <f aca="false">B91/B80</f>
        <v>0.293591247109717</v>
      </c>
      <c r="C92" s="19" t="n">
        <f aca="false">C91/C80</f>
        <v>0.183434401512451</v>
      </c>
      <c r="D92" s="19" t="n">
        <f aca="false">D91/D80</f>
        <v>0.392390420293074</v>
      </c>
      <c r="E92" s="19" t="n">
        <f aca="false">E91/E80</f>
        <v>0.405244456099193</v>
      </c>
    </row>
    <row r="94" customFormat="false" ht="15" hidden="false" customHeight="false" outlineLevel="0" collapsed="false">
      <c r="A94" s="10" t="s">
        <v>193</v>
      </c>
      <c r="B94" s="38" t="n">
        <v>0</v>
      </c>
      <c r="C94" s="38" t="n">
        <v>0</v>
      </c>
      <c r="D94" s="38" t="n">
        <v>0</v>
      </c>
      <c r="E94" s="38" t="n">
        <v>0.04</v>
      </c>
    </row>
    <row r="95" customFormat="false" ht="15" hidden="false" customHeight="false" outlineLevel="0" collapsed="false">
      <c r="A95" s="10" t="s">
        <v>194</v>
      </c>
      <c r="B95" s="23" t="n">
        <v>1</v>
      </c>
      <c r="C95" s="23" t="n">
        <v>1</v>
      </c>
      <c r="D95" s="23" t="n">
        <v>0</v>
      </c>
      <c r="E95" s="23" t="n">
        <v>1</v>
      </c>
    </row>
    <row r="97" customFormat="false" ht="15" hidden="false" customHeight="false" outlineLevel="0" collapsed="false">
      <c r="A97" s="2" t="s">
        <v>195</v>
      </c>
    </row>
    <row r="98" customFormat="false" ht="15" hidden="false" customHeight="false" outlineLevel="0" collapsed="false">
      <c r="A98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199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200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201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202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203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204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205</v>
      </c>
    </row>
    <row r="13" customFormat="false" ht="15" hidden="false" customHeight="false" outlineLevel="0" collapsed="false">
      <c r="A13" s="8" t="s">
        <v>206</v>
      </c>
    </row>
    <row r="14" customFormat="false" ht="15" hidden="false" customHeight="false" outlineLevel="0" collapsed="false">
      <c r="A14" s="10" t="s">
        <v>207</v>
      </c>
      <c r="B14" s="13" t="n">
        <v>1135.87</v>
      </c>
    </row>
    <row r="15" customFormat="false" ht="15" hidden="false" customHeight="false" outlineLevel="0" collapsed="false">
      <c r="A15" s="10" t="s">
        <v>208</v>
      </c>
      <c r="B15" s="13" t="n">
        <v>135.13</v>
      </c>
    </row>
    <row r="16" customFormat="false" ht="15" hidden="false" customHeight="false" outlineLevel="0" collapsed="false">
      <c r="A16" s="10" t="s">
        <v>209</v>
      </c>
      <c r="B16" s="13" t="n">
        <v>1720</v>
      </c>
    </row>
    <row r="17" customFormat="false" ht="15" hidden="false" customHeight="false" outlineLevel="0" collapsed="false">
      <c r="A17" s="10" t="s">
        <v>210</v>
      </c>
      <c r="B17" s="13" t="n">
        <v>309.6</v>
      </c>
    </row>
    <row r="18" customFormat="false" ht="15" hidden="false" customHeight="false" outlineLevel="0" collapsed="false">
      <c r="A18" s="10" t="s">
        <v>211</v>
      </c>
      <c r="B18" s="13" t="n">
        <v>5961</v>
      </c>
    </row>
    <row r="19" customFormat="false" ht="15" hidden="false" customHeight="false" outlineLevel="0" collapsed="false">
      <c r="A19" s="10" t="s">
        <v>212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213</v>
      </c>
    </row>
    <row r="23" customFormat="false" ht="15" hidden="false" customHeight="false" outlineLevel="0" collapsed="false">
      <c r="A23" s="8" t="s">
        <v>214</v>
      </c>
    </row>
    <row r="24" customFormat="false" ht="15" hidden="false" customHeight="false" outlineLevel="0" collapsed="false">
      <c r="A24" s="10" t="s">
        <v>215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216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217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218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219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220</v>
      </c>
    </row>
    <row r="34" customFormat="false" ht="30" hidden="false" customHeight="true" outlineLevel="0" collapsed="false">
      <c r="A34" s="22" t="s">
        <v>2</v>
      </c>
      <c r="B34" s="22" t="s">
        <v>221</v>
      </c>
      <c r="C34" s="22" t="s">
        <v>222</v>
      </c>
      <c r="D34" s="22" t="s">
        <v>223</v>
      </c>
      <c r="E34" s="22" t="s">
        <v>105</v>
      </c>
      <c r="F34" s="22" t="s">
        <v>224</v>
      </c>
    </row>
    <row r="35" customFormat="false" ht="15" hidden="false" customHeight="false" outlineLevel="0" collapsed="false">
      <c r="A35" s="10" t="s">
        <v>225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226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227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39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2026-10-19T20:25:29Z</dcterms:created>
  <dc:creator>openpyxl</dc:creator>
  <dc:description/>
  <dc:language>en-US</dc:language>
  <cp:lastModifiedBy/>
  <dcterms:modified xsi:type="dcterms:W3CDTF">2026-10-19T20:25:29Z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