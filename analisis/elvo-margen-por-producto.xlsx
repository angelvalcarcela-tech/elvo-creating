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men" sheetId="1" state="visible" r:id="rId3"/>
    <sheet name="Supuestos" sheetId="2" state="visible" r:id="rId4"/>
    <sheet name="Desglose" sheetId="3" state="visible" r:id="rId5"/>
    <sheet name="Contenedor2" sheetId="4" state="visible" r:id="rId6"/>
    <sheet name="Courier_Hub" sheetId="5" state="visible" r:id="rId7"/>
    <sheet name="Stock_Hub" sheetId="6" state="visible" r:id="rId8"/>
    <sheet name="Costo_Lima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<sst xmlns="http://schemas.openxmlformats.org/spreadsheetml/2006/main" count="392" uniqueCount="328">
  <si>
    <t xml:space="preserve">Resumen - utilidad por pedido (S/)</t>
  </si>
  <si>
    <t xml:space="preserve">Todas las cifras vienen de la hoja Desglose; cambia los supuestos en la hoja Supuestos.</t>
  </si>
  <si>
    <t xml:space="preserve">Producto</t>
  </si>
  <si>
    <t xml:space="preserve">Precio</t>
  </si>
  <si>
    <t xml:space="preserve">Utilidad antes de publicidad (Lima)</t>
  </si>
  <si>
    <t xml:space="preserve">Utilidad final (Lima)</t>
  </si>
  <si>
    <t xml:space="preserve">% del precio (Lima)</t>
  </si>
  <si>
    <t xml:space="preserve">Utilidad antes de publicidad (Provincia)</t>
  </si>
  <si>
    <t xml:space="preserve">Utilidad final (Provincia)</t>
  </si>
  <si>
    <t xml:space="preserve">% del precio (Provincia)</t>
  </si>
  <si>
    <t xml:space="preserve">Provincia: segun la celda de Supuestos (el cliente paga el envio = 1). Con 0 se muestra envio gratis con courier a cargo de elvo.</t>
  </si>
  <si>
    <t xml:space="preserve">Todos los precios incluyen IGV 18%. La utilidad es antes de costos fijos (equipo, software), almacen e impuesto a la renta.</t>
  </si>
  <si>
    <t xml:space="preserve">Supuestos - elvo· margen por producto</t>
  </si>
  <si>
    <t xml:space="preserve">Azul = dato que puedes cambiar. Verde = viene de otra hoja. Los precios de venta incluyen IGV.</t>
  </si>
  <si>
    <t xml:space="preserve">General</t>
  </si>
  <si>
    <t xml:space="preserve">IGV</t>
  </si>
  <si>
    <t xml:space="preserve">Tasa vigente. Venta neta = precio / (1 + IGV).</t>
  </si>
  <si>
    <t xml:space="preserve">Tipo de cambio (S/ por US$)</t>
  </si>
  <si>
    <t xml:space="preserve">Indicado por el usuario.</t>
  </si>
  <si>
    <t xml:space="preserve">Publicidad por pedido (CAC, S/)</t>
  </si>
  <si>
    <t xml:space="preserve">Estimado de Meta 2026: ~US$9.7k en campañas a WhatsApp / 1,105 pedidos. NO verificado.</t>
  </si>
  <si>
    <t xml:space="preserve">Entrega efectiva en Lima</t>
  </si>
  <si>
    <t xml:space="preserve">Usuario: todos los pedidos de Lima son contraentrega y se entrega el 80%. (El 85% inicial era el promedio con provincia.)</t>
  </si>
  <si>
    <t xml:space="preserve">Entrega efectiva en provincia</t>
  </si>
  <si>
    <t xml:space="preserve">Con seña de S/ 50 la falla no genera perdida (usuario).</t>
  </si>
  <si>
    <t xml:space="preserve">Costos unitarios puestos en Lima (S/, ver hoja Costo_Lima)</t>
  </si>
  <si>
    <t xml:space="preserve">Purificador Nativo / Vivo</t>
  </si>
  <si>
    <t xml:space="preserve">Mismo costo para Nativo y Vivo (usuario).</t>
  </si>
  <si>
    <t xml:space="preserve">Repuesto (cartucho de caño)</t>
  </si>
  <si>
    <t xml:space="preserve">Pieza Ritual (filtro o kit)</t>
  </si>
  <si>
    <t xml:space="preserve">Repuesto Ritual = costo de un Ritual (usuario).</t>
  </si>
  <si>
    <t xml:space="preserve">Logistica (sin IGV)</t>
  </si>
  <si>
    <t xml:space="preserve">Empaque Lima (S/)</t>
  </si>
  <si>
    <t xml:space="preserve">Fulfillment Tecretail (usuario).</t>
  </si>
  <si>
    <t xml:space="preserve">Empaque provincia (S/)</t>
  </si>
  <si>
    <t xml:space="preserve">Courier Lima (S/)</t>
  </si>
  <si>
    <t xml:space="preserve">Promedio de S/ 10-15 (Dinsides dia siguiente); express S/ 15. Sin IGV.</t>
  </si>
  <si>
    <t xml:space="preserve">Courier provincia si lo pago yo (S/)</t>
  </si>
  <si>
    <t xml:space="preserve">Usuario: a veces cobran S/ 50, a veces 0. Ajustar.</t>
  </si>
  <si>
    <t xml:space="preserve">¿El cliente paga el envio en provincia? (1 = si, 0 = no)</t>
  </si>
  <si>
    <t xml:space="preserve">Cambiar a 0 para ver envio gratis.</t>
  </si>
  <si>
    <t xml:space="preserve">Comisiones de pago</t>
  </si>
  <si>
    <t xml:space="preserve">% pedidos en efectivo / Yape</t>
  </si>
  <si>
    <t xml:space="preserve">MEZCLA ILUSTRATIVA (supuesto). Reemplazar con datos reales.</t>
  </si>
  <si>
    <t xml:space="preserve">% pedidos con tarjeta en 1 pago</t>
  </si>
  <si>
    <t xml:space="preserve">MEZCLA ILUSTRATIVA.</t>
  </si>
  <si>
    <t xml:space="preserve">% pedidos en 3 cuotas</t>
  </si>
  <si>
    <t xml:space="preserve">% pedidos en 6 cuotas</t>
  </si>
  <si>
    <t xml:space="preserve">Tasa tarjeta 1 pago</t>
  </si>
  <si>
    <t xml:space="preserve">Usuario: 3.49% + S/ 1.</t>
  </si>
  <si>
    <t xml:space="preserve">Tasa 3 cuotas</t>
  </si>
  <si>
    <t xml:space="preserve">Usuario: 6.48% + S/ 1.</t>
  </si>
  <si>
    <t xml:space="preserve">Tasa 6 cuotas</t>
  </si>
  <si>
    <t xml:space="preserve">Usuario: 8.98% + S/ 1.</t>
  </si>
  <si>
    <t xml:space="preserve">Fijo por transaccion con tarjeta (S/)</t>
  </si>
  <si>
    <t xml:space="preserve">Usuario.</t>
  </si>
  <si>
    <t xml:space="preserve">Comision % ponderada</t>
  </si>
  <si>
    <t xml:space="preserve">Comision fija ponderada (S/)</t>
  </si>
  <si>
    <t xml:space="preserve">Control: la mezcla debe sumar 100%</t>
  </si>
  <si>
    <t xml:space="preserve">Almacen (Tecretail)</t>
  </si>
  <si>
    <t xml:space="preserve">Almacen mensual (S/)</t>
  </si>
  <si>
    <t xml:space="preserve">Pedidos al mes para prorratear</t>
  </si>
  <si>
    <t xml:space="preserve">Supuesto. Cambiar segun ventas.</t>
  </si>
  <si>
    <t xml:space="preserve">Almacen por pedido (S/)</t>
  </si>
  <si>
    <t xml:space="preserve">Desglose desde el precio de venta, por pedido colocado (S/)</t>
  </si>
  <si>
    <t xml:space="preserve">Azul = entradas por producto (editables). Todo lo demas son formulas conectadas a Supuestos.</t>
  </si>
  <si>
    <t xml:space="preserve">Nativo 18 meses</t>
  </si>
  <si>
    <t xml:space="preserve">Nativo 3 años</t>
  </si>
  <si>
    <t xml:space="preserve">Nativo 6 años</t>
  </si>
  <si>
    <t xml:space="preserve">Vivo 18 meses</t>
  </si>
  <si>
    <t xml:space="preserve">Vivo 3 años</t>
  </si>
  <si>
    <t xml:space="preserve">Vivo 6 años</t>
  </si>
  <si>
    <t xml:space="preserve">Ritual 1 filtro sin kit</t>
  </si>
  <si>
    <t xml:space="preserve">Ritual 1 filtro con kit</t>
  </si>
  <si>
    <t xml:space="preserve">Ritual Dúo con kit</t>
  </si>
  <si>
    <t xml:space="preserve">Ritual Familia con kit</t>
  </si>
  <si>
    <t xml:space="preserve">Repuesto Nativo</t>
  </si>
  <si>
    <t xml:space="preserve">Repuesto Vivo</t>
  </si>
  <si>
    <t xml:space="preserve">Repuesto Ritual</t>
  </si>
  <si>
    <t xml:space="preserve">Precio de venta (incluye IGV)</t>
  </si>
  <si>
    <t xml:space="preserve">Purificadores por pedido</t>
  </si>
  <si>
    <t xml:space="preserve">Repuestos de caño por pedido</t>
  </si>
  <si>
    <t xml:space="preserve">Piezas Ritual por pedido (filtro o kit)</t>
  </si>
  <si>
    <t xml:space="preserve">¿Lleva publicidad? (1 = si, 0 = no)</t>
  </si>
  <si>
    <t xml:space="preserve">LIMA (85% de entrega)</t>
  </si>
  <si>
    <t xml:space="preserve">Precio de venta</t>
  </si>
  <si>
    <t xml:space="preserve">Venta neta</t>
  </si>
  <si>
    <t xml:space="preserve">Comision de pago</t>
  </si>
  <si>
    <t xml:space="preserve">Empaque</t>
  </si>
  <si>
    <t xml:space="preserve">Courier</t>
  </si>
  <si>
    <t xml:space="preserve">Margen si se entrega</t>
  </si>
  <si>
    <t xml:space="preserve">Entregas fallidas</t>
  </si>
  <si>
    <t xml:space="preserve">Utilidad antes de publicidad</t>
  </si>
  <si>
    <t xml:space="preserve">Publicidad (CAC)</t>
  </si>
  <si>
    <t xml:space="preserve">Utilidad final</t>
  </si>
  <si>
    <t xml:space="preserve">% del precio</t>
  </si>
  <si>
    <t xml:space="preserve">Almacen prorrateado</t>
  </si>
  <si>
    <t xml:space="preserve">Utilidad final tras almacen</t>
  </si>
  <si>
    <t xml:space="preserve">PROVINCIA (seña de S/ 50)</t>
  </si>
  <si>
    <t xml:space="preserve">Empaque provincia</t>
  </si>
  <si>
    <t xml:space="preserve">Courier a mi cargo</t>
  </si>
  <si>
    <t xml:space="preserve">Notas: las entregas fallidas restan la utilidad que no se cobra (se paga empaque y courier igual). En repuestos no se aplica publicidad (recompra por WhatsApp). Ritual "con kit" = filtro + kit de repuesto incluido.</t>
  </si>
  <si>
    <t xml:space="preserve">Excluye: PureCore / nucleo de magnesio si es otra compra, tarifa de almacen de puerto pendiente, comisiones bancarias, costos fijos de equipo e impuesto a la renta.</t>
  </si>
  <si>
    <t xml:space="preserve">Contenedor 2 - bidones 22 L / 16 L, kit 3 en 1 y elvo· Cero (R260) - B/L COSU6464399990, 40HQ, llega a Chancay el 25-oct-2026</t>
  </si>
  <si>
    <t xml:space="preserve">Azul = dato de los documentos o supuesto editable. Negro = formula. Verde = viene de otra hoja. Lo marcado ESTIMADO sale del embarque anterior, no de un documento de este contenedor.</t>
  </si>
  <si>
    <t xml:space="preserve">Unidades</t>
  </si>
  <si>
    <t xml:space="preserve">FOB unitario (US$)</t>
  </si>
  <si>
    <t xml:space="preserve">FOB total (US$)</t>
  </si>
  <si>
    <t xml:space="preserve">Volumen (CBM)</t>
  </si>
  <si>
    <t xml:space="preserve">% del volumen</t>
  </si>
  <si>
    <t xml:space="preserve">% del valor</t>
  </si>
  <si>
    <t xml:space="preserve">Bidon purificador 22 L</t>
  </si>
  <si>
    <t xml:space="preserve">Bidon purificador 16 L</t>
  </si>
  <si>
    <t xml:space="preserve">Kit de filtros 3 en 1</t>
  </si>
  <si>
    <t xml:space="preserve">elvo· Cero R260 (100 maquinas + 20 filtros + entrega a Ningbo)</t>
  </si>
  <si>
    <t xml:space="preserve">Total</t>
  </si>
  <si>
    <t xml:space="preserve">Fuentes: factura DK-GV-2026-01 (Ningbo Dukang, 1-jun-2026) y packing list; proforma 10062026356AVR260W (Suzhou Beiang, 10-jun-2026, EXW). CBM de Cero = CBM total del B/L menos los CBM del packing list (101 cartones, ~1,014 kg).</t>
  </si>
  <si>
    <t xml:space="preserve">Detalle elvo· Cero (Suzhou Beiang) - pago 30% anticipo / 70% antes de embarque</t>
  </si>
  <si>
    <t xml:space="preserve">Concepto</t>
  </si>
  <si>
    <t xml:space="preserve">Cantidad</t>
  </si>
  <si>
    <t xml:space="preserve">Precio (US$)</t>
  </si>
  <si>
    <t xml:space="preserve">Total (US$)</t>
  </si>
  <si>
    <t xml:space="preserve">Maquinas R260 (agua fria y caliente, osmosis inversa, UV)</t>
  </si>
  <si>
    <t xml:space="preserve">Filtro ROC de repuesto</t>
  </si>
  <si>
    <t xml:space="preserve">Filtro PAC de repuesto</t>
  </si>
  <si>
    <t xml:space="preserve">Entrega a Ningbo (monto unico)</t>
  </si>
  <si>
    <t xml:space="preserve">Total Cero</t>
  </si>
  <si>
    <t xml:space="preserve">Volumen y flete (B/L: flete collect, se paga en destino)</t>
  </si>
  <si>
    <t xml:space="preserve">Volumen total del B/L (CBM)</t>
  </si>
  <si>
    <t xml:space="preserve">Flete maritimo (US$)</t>
  </si>
  <si>
    <t xml:space="preserve">Fuel Adjustment Factor (US$)</t>
  </si>
  <si>
    <t xml:space="preserve">ISPS (US$)</t>
  </si>
  <si>
    <t xml:space="preserve">THC en destino (US$)</t>
  </si>
  <si>
    <t xml:space="preserve">Total flete collect (US$)</t>
  </si>
  <si>
    <t xml:space="preserve">Visto bueno de importacion Callao-Chancay (US$, sin IGV)</t>
  </si>
  <si>
    <t xml:space="preserve">SAC (US$, sin IGV)</t>
  </si>
  <si>
    <t xml:space="preserve">Otros gastos locales ESTIMADOS (US$, con IGV)</t>
  </si>
  <si>
    <t xml:space="preserve">Suma de agenciamiento, transmision, handling, documentacion, descarga y gastos admin. de la factura Inca Lines del embarque anterior. Contenedor completo puede variar.</t>
  </si>
  <si>
    <t xml:space="preserve">Seguro nocional (% del FOB)</t>
  </si>
  <si>
    <t xml:space="preserve">Mismo % que la proforma de aduana anterior (US$ 74.50 sobre FOB 7,450). Es base de impuestos, no un pago.</t>
  </si>
  <si>
    <t xml:space="preserve">Impuestos de aduana - ratios del embarque anterior (proforma 026/0000257)</t>
  </si>
  <si>
    <t xml:space="preserve">CIF anterior (US$)</t>
  </si>
  <si>
    <t xml:space="preserve">Tipo de cambio de aduana anterior</t>
  </si>
  <si>
    <t xml:space="preserve">IGV anterior (S/)</t>
  </si>
  <si>
    <t xml:space="preserve">IPM anterior (S/)</t>
  </si>
  <si>
    <t xml:space="preserve">Percepcion anterior (S/)</t>
  </si>
  <si>
    <t xml:space="preserve">IGV + IPM como % del CIF</t>
  </si>
  <si>
    <t xml:space="preserve">Percepcion como % del CIF</t>
  </si>
  <si>
    <t xml:space="preserve">Arancel ad valorem (SUPUESTO)</t>
  </si>
  <si>
    <t xml:space="preserve">El embarque anterior pago 0%. Confirmar la partida arancelaria del Cero y de los bidones con el agente antes de nacionalizar.</t>
  </si>
  <si>
    <t xml:space="preserve">Agente de aduana y transporte local - ESTIMADO (S/, sin IGV)</t>
  </si>
  <si>
    <t xml:space="preserve">Comision del agente</t>
  </si>
  <si>
    <t xml:space="preserve">Anterior: S/ 900 sobre CIF de US$ 8.2k; este CIF es ~5 veces mayor.</t>
  </si>
  <si>
    <t xml:space="preserve">Documentos de aduana</t>
  </si>
  <si>
    <t xml:space="preserve">Igual que el embarque anterior.</t>
  </si>
  <si>
    <t xml:space="preserve">Regularizacion SADA</t>
  </si>
  <si>
    <t xml:space="preserve">Camion de contenedor Chancay - San Borja</t>
  </si>
  <si>
    <t xml:space="preserve">Anterior: S/ 620 en carga LCL. Un 40HQ completo cuesta mas; pedir cotizacion.</t>
  </si>
  <si>
    <t xml:space="preserve">IGV del agente (S/)</t>
  </si>
  <si>
    <t xml:space="preserve">Resultado del contenedor</t>
  </si>
  <si>
    <t xml:space="preserve">Seguro nocional (US$)</t>
  </si>
  <si>
    <t xml:space="preserve">CIF (US$)</t>
  </si>
  <si>
    <t xml:space="preserve">CIF (S/)</t>
  </si>
  <si>
    <t xml:space="preserve">Arancel (S/)</t>
  </si>
  <si>
    <t xml:space="preserve">IGV + IPM (S/)</t>
  </si>
  <si>
    <t xml:space="preserve">Percepcion (S/)</t>
  </si>
  <si>
    <t xml:space="preserve">Impuestos de aduana (S/)</t>
  </si>
  <si>
    <t xml:space="preserve">Proveedores (S/)</t>
  </si>
  <si>
    <t xml:space="preserve">Flete collect (S/)</t>
  </si>
  <si>
    <t xml:space="preserve">Visto bueno + SAC con IGV (S/)</t>
  </si>
  <si>
    <t xml:space="preserve">Otros gastos locales (S/)</t>
  </si>
  <si>
    <t xml:space="preserve">Agente con IGV (S/)</t>
  </si>
  <si>
    <t xml:space="preserve">TOTAL DESEMBOLSADO (S/)</t>
  </si>
  <si>
    <t xml:space="preserve">IGV recuperable (S/)</t>
  </si>
  <si>
    <t xml:space="preserve">COSTO REAL PUESTO EN LIMA (S/)</t>
  </si>
  <si>
    <t xml:space="preserve">Costo real (US$)</t>
  </si>
  <si>
    <t xml:space="preserve">Pendiente de pagar: todo menos proveedores (S/)</t>
  </si>
  <si>
    <t xml:space="preserve">Se asume que los dos proveedores ya estan pagados. Flete collect y visto bueno se pagan antes de retirar el contenedor.</t>
  </si>
  <si>
    <t xml:space="preserve">Costo unitario puesto en Lima</t>
  </si>
  <si>
    <t xml:space="preserve">Costo neto asignado (S/)</t>
  </si>
  <si>
    <t xml:space="preserve">COSTO UNITARIO neto de IGV recuperable (S/)</t>
  </si>
  <si>
    <t xml:space="preserve">Costo unitario si NO recuperas IGV (S/)</t>
  </si>
  <si>
    <t xml:space="preserve">Costo unitario que se usa (S/)</t>
  </si>
  <si>
    <t xml:space="preserve">control: debe ser 0</t>
  </si>
  <si>
    <t xml:space="preserve">Reparto: mercaderia directa; flete, gastos locales y agente por volumen (CBM); arancel e impuestos por valor.</t>
  </si>
  <si>
    <t xml:space="preserve">Margen por pedido en Lima (S/) con precios RECOMENDADOS - courier de bultos grandes probablemente mayor</t>
  </si>
  <si>
    <t xml:space="preserve">Bidon 22 L</t>
  </si>
  <si>
    <t xml:space="preserve">Bidon 16 L</t>
  </si>
  <si>
    <t xml:space="preserve">Kit 3 en 1</t>
  </si>
  <si>
    <t xml:space="preserve">elvo· Cero</t>
  </si>
  <si>
    <t xml:space="preserve">Precio de venta (con IGV) - recomendado</t>
  </si>
  <si>
    <t xml:space="preserve">Provision de garantia</t>
  </si>
  <si>
    <t xml:space="preserve">Publicidad</t>
  </si>
  <si>
    <t xml:space="preserve">Entrada: provision de garantia (% del precio)</t>
  </si>
  <si>
    <t xml:space="preserve">Entrada: lleva publicidad (1 = si, 0 = no)</t>
  </si>
  <si>
    <t xml:space="preserve">Precios recomendados: bidon 22 L S/ 219, bidon 16 L S/ 159, kit S/ 85, Cero S/ 2,299. Referencias (Sodimac Peru, busqueda oct-2026): bidon mineralizador 16 L S/ 159.90 (lista S/ 249); repuestos de filtro S/ 72.90-84.90; osmosis inversa bajo mesada de 5 etapas en Falabella Peru S/ 1,090-1,499.</t>
  </si>
  <si>
    <t xml:space="preserve">Garantia del Cero: 12 meses; provision de 4% del precio (~S/ 92) como SUGERENCIA, sin dato historico propio. No incluye courier de bultos grandes.</t>
  </si>
  <si>
    <t xml:space="preserve">The Hub vs operacion actual - pedidos en Lima, todos contraentrega</t>
  </si>
  <si>
    <t xml:space="preserve">Azul = dato editable. Verde = viene de otra hoja. Fuentes: proforma The Hub 21-abr-2026, Anexo 3 de tarifas y respuestas de The Hub por WhatsApp (19-oct-2026). Sin IGV.</t>
  </si>
  <si>
    <t xml:space="preserve">Operacion actual (empaque + courier + almacen)</t>
  </si>
  <si>
    <t xml:space="preserve">Almacen prorrateado por pedido (S/)</t>
  </si>
  <si>
    <t xml:space="preserve">Entrega efectiva actual en Lima</t>
  </si>
  <si>
    <t xml:space="preserve">The Hub (Business Standard) - condiciones confirmadas</t>
  </si>
  <si>
    <t xml:space="preserve">Gestion por orden (S/)</t>
  </si>
  <si>
    <t xml:space="preserve">Proforma.</t>
  </si>
  <si>
    <t xml:space="preserve">Envio estandar Lima, tarifa ponderada hasta 3 kg (S/)</t>
  </si>
  <si>
    <t xml:space="preserve">The Hub: la tarifa urbana subio a S/ 8.00; mixtos casi siempre urbano; periferico 9.50; periferico 2: 10.50. 8.75 = ponderacion ESTIMADA con una muestra de 9 pedidos.</t>
  </si>
  <si>
    <t xml:space="preserve">Kg adicional sobre 3 kg (S/)</t>
  </si>
  <si>
    <t xml:space="preserve">Urbano 1.5, periferico 2.0. Peso facturable = largo x alto x ancho / 5000.</t>
  </si>
  <si>
    <t xml:space="preserve">Cobro contraentrega en efectivo o tarjeta (% del valor)</t>
  </si>
  <si>
    <t xml:space="preserve">The Hub: 4.5% en efectivo o tarjeta; no lo bajan. Solo se cobra cuando cobran. El POS permite cuotas pero NO cuotas sin intereses.</t>
  </si>
  <si>
    <t xml:space="preserve">Cobro contraentrega en billeteras (Yape/Plin)</t>
  </si>
  <si>
    <t xml:space="preserve">The Hub: pueden bajarlo a 2.5%.</t>
  </si>
  <si>
    <t xml:space="preserve">% de clientes que pagan con billetera al recibir</t>
  </si>
  <si>
    <t xml:space="preserve">SUPUESTO ilustrativo. Reemplazar con datos reales.</t>
  </si>
  <si>
    <t xml:space="preserve">Retorno por pedido no entregado (S/)</t>
  </si>
  <si>
    <t xml:space="preserve">Hay un reintento gratis; el retorno al almacen cuesta S/ 1. Reenviar vuelve a cobrar el envio.</t>
  </si>
  <si>
    <t xml:space="preserve">¿El cobro de The Hub incluye la comision de tarjeta? (1 = si, 0 = no)</t>
  </si>
  <si>
    <t xml:space="preserve">CONFIRMADO por The Hub: el 4.5% incluye la tarjeta.</t>
  </si>
  <si>
    <t xml:space="preserve">Almacen (US$ por m3 al mes)</t>
  </si>
  <si>
    <t xml:space="preserve">Confirmado: es mensual.</t>
  </si>
  <si>
    <t xml:space="preserve">Meses que el stock permanece en The Hub</t>
  </si>
  <si>
    <t xml:space="preserve">El resto queda en almacen propio y se envia por tandas.</t>
  </si>
  <si>
    <t xml:space="preserve">Entrega efectiva con The Hub en Lima</t>
  </si>
  <si>
    <t xml:space="preserve">Igual a la actual para comparar costos. Cambiar para probar un alza (el reintento gratis podria subirla).</t>
  </si>
  <si>
    <t xml:space="preserve">Recepcion de mercaderia: costo por hora-hombre (S/)</t>
  </si>
  <si>
    <t xml:space="preserve">The Hub: S/ 114 por hora-hombre.</t>
  </si>
  <si>
    <t xml:space="preserve">Cartones descargados por hora-hombre</t>
  </si>
  <si>
    <t xml:space="preserve">ESTIMACION mia (cartones de ~20 kg a mano, incluye conteo y acomodo). Paletizado seria mucho mas rapido. Pedir dato real.</t>
  </si>
  <si>
    <t xml:space="preserve">Pedidos al mes que pasarian por The Hub</t>
  </si>
  <si>
    <t xml:space="preserve">SUPUESTO. Ajustar a tu volumen en Lima.</t>
  </si>
  <si>
    <t xml:space="preserve">Minimo de pedidos al mes (se paga el empaque faltante)</t>
  </si>
  <si>
    <t xml:space="preserve">The Hub: si no se llega a 150, se paga el empaque que falta.</t>
  </si>
  <si>
    <t xml:space="preserve">Tipo de cambio</t>
  </si>
  <si>
    <t xml:space="preserve">Cobro contraentrega promedio (% del valor)</t>
  </si>
  <si>
    <t xml:space="preserve">Gestion efectiva por pedido (S/), con el minimo</t>
  </si>
  <si>
    <t xml:space="preserve">Comparacion por pedido colocado en Lima (S/)</t>
  </si>
  <si>
    <t xml:space="preserve">Precio de venta (con IGV)</t>
  </si>
  <si>
    <t xml:space="preserve">Margen por pedido entregado, antes de logistica</t>
  </si>
  <si>
    <t xml:space="preserve">  incluye comision de pago (S/, negativa)</t>
  </si>
  <si>
    <t xml:space="preserve">Volumen por unidad (m3)</t>
  </si>
  <si>
    <t xml:space="preserve">Peso facturable (kg)</t>
  </si>
  <si>
    <t xml:space="preserve">Unidades por carton</t>
  </si>
  <si>
    <t xml:space="preserve">ACTUAL: logistica por pedido colocado</t>
  </si>
  <si>
    <t xml:space="preserve">ACTUAL: utilidad antes de publicidad</t>
  </si>
  <si>
    <t xml:space="preserve">HUB: gestion (con minimo) + envio</t>
  </si>
  <si>
    <t xml:space="preserve">HUB: cobro contraentrega esperado</t>
  </si>
  <si>
    <t xml:space="preserve">HUB: retorno de no entregados</t>
  </si>
  <si>
    <t xml:space="preserve">HUB: almacen</t>
  </si>
  <si>
    <t xml:space="preserve">HUB: recepcion de mercaderia por unidad</t>
  </si>
  <si>
    <t xml:space="preserve">HUB: transporte de tu almacen a The Hub por pedido</t>
  </si>
  <si>
    <t xml:space="preserve">HUB: logistica por pedido colocado</t>
  </si>
  <si>
    <t xml:space="preserve">HUB: margen por pedido entregado (sin la comision de tarjeta, que incluye el cobro)</t>
  </si>
  <si>
    <t xml:space="preserve">HUB: utilidad antes de publicidad</t>
  </si>
  <si>
    <t xml:space="preserve">Diferencia Hub - actual (utilidad por pedido)</t>
  </si>
  <si>
    <t xml:space="preserve">Alza de entrega que iguala (puntos)</t>
  </si>
  <si>
    <t xml:space="preserve">Cobro contraentrega promedio que iguala (% del valor)</t>
  </si>
  <si>
    <t xml:space="preserve">Sensibilidad: diferencia Hub - actual por pedido de Nativo 3 años segun pedidos al mes (por el minimo de 150)</t>
  </si>
  <si>
    <t xml:space="preserve">Pedidos al mes en The Hub</t>
  </si>
  <si>
    <t xml:space="preserve">Diferencia por pedido (S/)</t>
  </si>
  <si>
    <t xml:space="preserve">Lectura: diferencia negativa = The Hub cuesta mas a igual tasa de entrega. "Alza de entrega" = puntos que debe mejorar para compensar. Ultima fila de la tabla = cobro contraentrega promedio con el que quedas igual.</t>
  </si>
  <si>
    <t xml:space="preserve">Condiciones de The Hub: el POS NO hace cuotas sin intereses; en provincia NO hay contraentrega (se maneja por agencias); el seguro en ruta es de S/ 300 por ruta y el del Cero depende de la agencia.</t>
  </si>
  <si>
    <t xml:space="preserve">No incluye: beneficio tributario de la factura de The Hub (IGV y gasto deducible) (el transporte desde tu almacen a The Hub viene de la hoja Stock_Hub). Para bidones y Cero el courier actual (S/ 12.5) es solo una referencia.</t>
  </si>
  <si>
    <t xml:space="preserve">Plan de stock en The Hub: tandas desde tu almacen propio</t>
  </si>
  <si>
    <t xml:space="preserve">Idea: dejar en The Hub solo lo que se vende en unas dos semanas y reponer por tandas. Azul = supuesto editable (la mezcla de pedidos es ilustrativa).</t>
  </si>
  <si>
    <t xml:space="preserve">Pedidos por dia en Lima que pasan por The Hub</t>
  </si>
  <si>
    <t xml:space="preserve">Viene de Courier_Hub (pedidos al mes / 30). 150 pedidos al mes = minimo de The Hub.</t>
  </si>
  <si>
    <t xml:space="preserve">Dias de venta que cubre cada tanda</t>
  </si>
  <si>
    <t xml:space="preserve">Tandas mensuales: el almacen es barato (US$ 20 por m3) y cada viaje tiene costo fijo.</t>
  </si>
  <si>
    <t xml:space="preserve">Dias de stock de seguridad en The Hub</t>
  </si>
  <si>
    <t xml:space="preserve">Horas minimas facturables por recepcion</t>
  </si>
  <si>
    <t xml:space="preserve">SUPUESTO: se asume 1 hora como minimo.</t>
  </si>
  <si>
    <t xml:space="preserve">Transporte de tu almacen a The Hub, por tanda (S/)</t>
  </si>
  <si>
    <t xml:space="preserve">SUPUESTO. El anexo de tarifas trae S/ 200 por pallet para envios a CD / reposicion; confirmar si es esto.</t>
  </si>
  <si>
    <t xml:space="preserve">Costo por hora-hombre (S/)</t>
  </si>
  <si>
    <t xml:space="preserve">% de pedidos</t>
  </si>
  <si>
    <t xml:space="preserve">Unidades por tanda</t>
  </si>
  <si>
    <t xml:space="preserve">Cartones por tanda</t>
  </si>
  <si>
    <t xml:space="preserve">m3 por unidad</t>
  </si>
  <si>
    <t xml:space="preserve">m3 ocupados</t>
  </si>
  <si>
    <t xml:space="preserve">Nativo</t>
  </si>
  <si>
    <t xml:space="preserve">Vivo</t>
  </si>
  <si>
    <t xml:space="preserve">Costo mensual de tener stock en The Hub (S/)</t>
  </si>
  <si>
    <t xml:space="preserve">Horas de recepcion por tanda</t>
  </si>
  <si>
    <t xml:space="preserve">Costo de recepcion por tanda</t>
  </si>
  <si>
    <t xml:space="preserve">Tandas por mes</t>
  </si>
  <si>
    <t xml:space="preserve">Recepcion al mes</t>
  </si>
  <si>
    <t xml:space="preserve">Transporte al mes</t>
  </si>
  <si>
    <t xml:space="preserve">Almacen al mes (m3 ocupados al maximo)</t>
  </si>
  <si>
    <t xml:space="preserve">Total almacen + recepcion + transporte</t>
  </si>
  <si>
    <t xml:space="preserve">Pedidos al mes</t>
  </si>
  <si>
    <t xml:space="preserve">Gestion facturable al mes (con minimo)</t>
  </si>
  <si>
    <t xml:space="preserve">Costo por pedido en The Hub (sin envio ni cobro)</t>
  </si>
  <si>
    <t xml:space="preserve">Costo por pedido actual (empaque + almacen Tecretail)</t>
  </si>
  <si>
    <t xml:space="preserve">Diferencia por pedido (Hub - actual)</t>
  </si>
  <si>
    <t xml:space="preserve">Estimacion por tanda: sirve para ver el orden de magnitud. Las horas de descarga son estimadas (30 cartones por hora-hombre); si mandas en pallets, bajan mucho. El costo por pedido actual usa el empaque y el almacen de Tecretail de la hoja Supuestos.</t>
  </si>
  <si>
    <t xml:space="preserve">Costo puesto en Lima - embarque Ningbo (llegada 22-abr-2026)</t>
  </si>
  <si>
    <t xml:space="preserve">Azul = dato de los documentos (proforma, factura Inca Lines, proforma aduana). Negro = formula. Tipo de cambio viene de la hoja Supuestos.</t>
  </si>
  <si>
    <t xml:space="preserve">Filtro de caño NW-TR201-W (carcasa + cartucho CTO-10B + grifo)</t>
  </si>
  <si>
    <t xml:space="preserve">Repuesto de caño CTO-10B</t>
  </si>
  <si>
    <t xml:space="preserve">Filtro de ducha NW-BS2</t>
  </si>
  <si>
    <t xml:space="preserve">Pallets</t>
  </si>
  <si>
    <t xml:space="preserve">Flete maritimo Ningbo-Callao (prepaid)</t>
  </si>
  <si>
    <t xml:space="preserve">Total proveedor (CFR Callao)</t>
  </si>
  <si>
    <t xml:space="preserve">Fuente: Proforma Invoice CXY251121 (Yuyao Yadong), 21-nov-2025.</t>
  </si>
  <si>
    <t xml:space="preserve">Otros gastos del embarque</t>
  </si>
  <si>
    <t xml:space="preserve">Inca Lines: total gastos de destino (US$, incl. CAF 250 + factura 885.87)</t>
  </si>
  <si>
    <t xml:space="preserve">  del cual IGV de la factura Inca Lines (US$)</t>
  </si>
  <si>
    <t xml:space="preserve">Agencia de aduana: comision + servicios, base sin IGV (S/)</t>
  </si>
  <si>
    <t xml:space="preserve">Agencia de aduana: IGV sobre servicios (S/)</t>
  </si>
  <si>
    <t xml:space="preserve">Aduana: IGV + IPM + percepcion (S/); arancel 0%</t>
  </si>
  <si>
    <t xml:space="preserve">Recuperas el IGV como credito fiscal? (1 = si, 0 = no)</t>
  </si>
  <si>
    <t xml:space="preserve">Fuentes: aviso de llegada y factura F002-55098 / recibo 001-0132613 (Inca Lines); proforma 026/0000257 (agencia de aduana). Falta: tarifa final de almacen Villas Oquendo (pendiente).</t>
  </si>
  <si>
    <t xml:space="preserve">Resultado</t>
  </si>
  <si>
    <t xml:space="preserve">Proveedor (S/)</t>
  </si>
  <si>
    <t xml:space="preserve">Inca Lines (S/)</t>
  </si>
  <si>
    <t xml:space="preserve">Agencia de aduana con IGV (S/)</t>
  </si>
  <si>
    <t xml:space="preserve">Total desembolsado (S/)</t>
  </si>
  <si>
    <t xml:space="preserve">Impuestos recuperables (S/)</t>
  </si>
  <si>
    <t xml:space="preserve">Reparto de costos compartidos (flete, puerto, aduana) por valor FOB de cada producto</t>
  </si>
  <si>
    <t xml:space="preserve">FOB (US$)</t>
  </si>
  <si>
    <t xml:space="preserve">% del FOB</t>
  </si>
  <si>
    <t xml:space="preserve">Costo asignado (S/)</t>
  </si>
  <si>
    <t xml:space="preserve">COSTO UNITARIO (S/)</t>
  </si>
  <si>
    <t xml:space="preserve">Filtro de caño</t>
  </si>
  <si>
    <t xml:space="preserve">Repuesto de caño</t>
  </si>
  <si>
    <t xml:space="preserve">Filtro de ducha</t>
  </si>
  <si>
    <t xml:space="preserve">Limitacion: no incluye PureCore/nucleo de magnesio (si vienen de otra compra), empaque final, comisiones bancarias ni almacen de puerto pendiente.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</si>
</sst>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#,##0"/>
    <numFmt numFmtId="166" formatCode="#,##0.0;\(#,##0.0\);\-"/>
    <numFmt numFmtId="167" formatCode="0.0%;\(0.0%\);\-"/>
    <numFmt numFmtId="168" formatCode="0.000"/>
    <numFmt numFmtId="169" formatCode="#,##0.00;\(#,##0.00\);\-"/>
    <numFmt numFmtId="170" formatCode="0"/>
    <numFmt numFmtId="171" formatCode="0.00%"/>
    <numFmt numFmtId="172" formatCode="0.00"/>
    <numFmt numFmtId="173" formatCode="0.0"/>
    <numFmt numFmtId="174" formatCode="0.000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1F2"/>
        <bgColor rgb="FFE2EFDA"/>
      </patternFill>
    </fill>
    <fill>
      <patternFill patternType="solid">
        <fgColor rgb="FFFFFF99"/>
        <bgColor rgb="FFFFFFCC"/>
      </patternFill>
    </fill>
    <fill>
      <patternFill patternType="solid">
        <fgColor rgb="FFE2EFDA"/>
        <bgColor rgb="FFD9E1F2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0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8" min="2" style="0" width="18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48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</row>
    <row r="5" customFormat="false" ht="15" hidden="false" customHeight="false" outlineLevel="0" collapsed="false">
      <c r="A5" s="4" t="str">
        <f aca="false">Desglose!B4</f>
        <v>Nativo 18 meses</v>
      </c>
      <c r="B5" s="5" t="n">
        <f aca="false">Desglose!B5</f>
        <v>299</v>
      </c>
      <c r="C5" s="6" t="n">
        <f aca="false">Desglose!B21</f>
        <v>161.159271219808</v>
      </c>
      <c r="D5" s="6" t="n">
        <f aca="false">Desglose!B23</f>
        <v>130.159271219808</v>
      </c>
      <c r="E5" s="7" t="n">
        <f aca="false">Desglose!B24</f>
        <v>0.435315288360562</v>
      </c>
      <c r="F5" s="6" t="n">
        <f aca="false">Desglose!B36</f>
        <v>216.44908902476</v>
      </c>
      <c r="G5" s="6" t="n">
        <f aca="false">Desglose!B38</f>
        <v>185.44908902476</v>
      </c>
      <c r="H5" s="7" t="n">
        <f aca="false">Desglose!B39</f>
        <v>0.620231066972441</v>
      </c>
    </row>
    <row r="6" customFormat="false" ht="15" hidden="false" customHeight="false" outlineLevel="0" collapsed="false">
      <c r="A6" s="4" t="str">
        <f aca="false">Desglose!C4</f>
        <v>Nativo 3 años</v>
      </c>
      <c r="B6" s="5" t="n">
        <f aca="false">Desglose!C5</f>
        <v>349</v>
      </c>
      <c r="C6" s="6" t="n">
        <f aca="false">Desglose!C21</f>
        <v>191.837559763159</v>
      </c>
      <c r="D6" s="6" t="n">
        <f aca="false">Desglose!C23</f>
        <v>160.837559763159</v>
      </c>
      <c r="E6" s="7" t="n">
        <f aca="false">Desglose!C24</f>
        <v>0.460852606771229</v>
      </c>
      <c r="F6" s="6" t="n">
        <f aca="false">Desglose!C36</f>
        <v>254.796949703949</v>
      </c>
      <c r="G6" s="6" t="n">
        <f aca="false">Desglose!C38</f>
        <v>223.796949703949</v>
      </c>
      <c r="H6" s="7" t="n">
        <f aca="false">Desglose!C39</f>
        <v>0.641252004882374</v>
      </c>
    </row>
    <row r="7" customFormat="false" ht="15" hidden="false" customHeight="false" outlineLevel="0" collapsed="false">
      <c r="A7" s="4" t="str">
        <f aca="false">Desglose!D4</f>
        <v>Nativo 6 años</v>
      </c>
      <c r="B7" s="5" t="n">
        <f aca="false">Desglose!D5</f>
        <v>399</v>
      </c>
      <c r="C7" s="6" t="n">
        <f aca="false">Desglose!D21</f>
        <v>220.502631765115</v>
      </c>
      <c r="D7" s="6" t="n">
        <f aca="false">Desglose!D23</f>
        <v>189.502631765115</v>
      </c>
      <c r="E7" s="7" t="n">
        <f aca="false">Desglose!D24</f>
        <v>0.47494393926094</v>
      </c>
      <c r="F7" s="6" t="n">
        <f aca="false">Desglose!D36</f>
        <v>290.628289706394</v>
      </c>
      <c r="G7" s="6" t="n">
        <f aca="false">Desglose!D38</f>
        <v>259.628289706394</v>
      </c>
      <c r="H7" s="7" t="n">
        <f aca="false">Desglose!D39</f>
        <v>0.650697467935824</v>
      </c>
    </row>
    <row r="8" customFormat="false" ht="15" hidden="false" customHeight="false" outlineLevel="0" collapsed="false">
      <c r="A8" s="4" t="str">
        <f aca="false">Desglose!E4</f>
        <v>Vivo 18 meses</v>
      </c>
      <c r="B8" s="5" t="n">
        <f aca="false">Desglose!E5</f>
        <v>199</v>
      </c>
      <c r="C8" s="6" t="n">
        <f aca="false">Desglose!E21</f>
        <v>95.7762610503164</v>
      </c>
      <c r="D8" s="6" t="n">
        <f aca="false">Desglose!E23</f>
        <v>64.7762610503164</v>
      </c>
      <c r="E8" s="7" t="n">
        <f aca="false">Desglose!E24</f>
        <v>0.325508849499078</v>
      </c>
      <c r="F8" s="6" t="n">
        <f aca="false">Desglose!E36</f>
        <v>134.720326312896</v>
      </c>
      <c r="G8" s="6" t="n">
        <f aca="false">Desglose!E38</f>
        <v>103.720326312896</v>
      </c>
      <c r="H8" s="7" t="n">
        <f aca="false">Desglose!E39</f>
        <v>0.521207669914048</v>
      </c>
    </row>
    <row r="9" customFormat="false" ht="15" hidden="false" customHeight="false" outlineLevel="0" collapsed="false">
      <c r="A9" s="4" t="str">
        <f aca="false">Desglose!F4</f>
        <v>Vivo 3 años</v>
      </c>
      <c r="B9" s="5" t="n">
        <f aca="false">Desglose!F5</f>
        <v>249</v>
      </c>
      <c r="C9" s="6" t="n">
        <f aca="false">Desglose!F21</f>
        <v>126.454549593667</v>
      </c>
      <c r="D9" s="6" t="n">
        <f aca="false">Desglose!F23</f>
        <v>95.4545495936674</v>
      </c>
      <c r="E9" s="7" t="n">
        <f aca="false">Desglose!F24</f>
        <v>0.383351604793845</v>
      </c>
      <c r="F9" s="6" t="n">
        <f aca="false">Desglose!F36</f>
        <v>173.068186992084</v>
      </c>
      <c r="G9" s="6" t="n">
        <f aca="false">Desglose!F38</f>
        <v>142.068186992084</v>
      </c>
      <c r="H9" s="7" t="n">
        <f aca="false">Desglose!F39</f>
        <v>0.570554967839696</v>
      </c>
    </row>
    <row r="10" customFormat="false" ht="15" hidden="false" customHeight="false" outlineLevel="0" collapsed="false">
      <c r="A10" s="4" t="str">
        <f aca="false">Desglose!G4</f>
        <v>Vivo 6 años</v>
      </c>
      <c r="B10" s="5" t="n">
        <f aca="false">Desglose!G5</f>
        <v>329</v>
      </c>
      <c r="C10" s="6" t="n">
        <f aca="false">Desglose!G21</f>
        <v>174.734524646471</v>
      </c>
      <c r="D10" s="6" t="n">
        <f aca="false">Desglose!G23</f>
        <v>143.734524646471</v>
      </c>
      <c r="E10" s="7" t="n">
        <f aca="false">Desglose!G24</f>
        <v>0.43688305363669</v>
      </c>
      <c r="F10" s="6" t="n">
        <f aca="false">Desglose!G36</f>
        <v>233.418155808089</v>
      </c>
      <c r="G10" s="6" t="n">
        <f aca="false">Desglose!G38</f>
        <v>202.418155808089</v>
      </c>
      <c r="H10" s="7" t="n">
        <f aca="false">Desglose!G39</f>
        <v>0.615252753216076</v>
      </c>
    </row>
    <row r="11" customFormat="false" ht="15" hidden="false" customHeight="false" outlineLevel="0" collapsed="false">
      <c r="A11" s="4" t="str">
        <f aca="false">Desglose!H4</f>
        <v>Ritual 1 filtro sin kit</v>
      </c>
      <c r="B11" s="5" t="n">
        <f aca="false">Desglose!H5</f>
        <v>99</v>
      </c>
      <c r="C11" s="6" t="n">
        <f aca="false">Desglose!H21</f>
        <v>35.3347823915212</v>
      </c>
      <c r="D11" s="6" t="n">
        <f aca="false">Desglose!H23</f>
        <v>4.33478239152119</v>
      </c>
      <c r="E11" s="7" t="n">
        <f aca="false">Desglose!H24</f>
        <v>0.0437856807224362</v>
      </c>
      <c r="F11" s="6" t="n">
        <f aca="false">Desglose!H36</f>
        <v>59.1684779894015</v>
      </c>
      <c r="G11" s="6" t="n">
        <f aca="false">Desglose!H38</f>
        <v>28.1684779894015</v>
      </c>
      <c r="H11" s="7" t="n">
        <f aca="false">Desglose!H39</f>
        <v>0.284530080701025</v>
      </c>
    </row>
    <row r="12" customFormat="false" ht="15" hidden="false" customHeight="false" outlineLevel="0" collapsed="false">
      <c r="A12" s="4" t="str">
        <f aca="false">Desglose!I4</f>
        <v>Ritual 1 filtro con kit</v>
      </c>
      <c r="B12" s="5" t="n">
        <f aca="false">Desglose!I5</f>
        <v>99</v>
      </c>
      <c r="C12" s="6" t="n">
        <f aca="false">Desglose!I21</f>
        <v>22.3403847152458</v>
      </c>
      <c r="D12" s="6" t="n">
        <f aca="false">Desglose!I23</f>
        <v>-8.65961528475424</v>
      </c>
      <c r="E12" s="7" t="n">
        <f aca="false">Desglose!I24</f>
        <v>-0.0874708614621641</v>
      </c>
      <c r="F12" s="6" t="n">
        <f aca="false">Desglose!I36</f>
        <v>42.9254808940572</v>
      </c>
      <c r="G12" s="6" t="n">
        <f aca="false">Desglose!I38</f>
        <v>11.9254808940572</v>
      </c>
      <c r="H12" s="7" t="n">
        <f aca="false">Desglose!I39</f>
        <v>0.120459402970275</v>
      </c>
    </row>
    <row r="13" customFormat="false" ht="15" hidden="false" customHeight="false" outlineLevel="0" collapsed="false">
      <c r="A13" s="4" t="str">
        <f aca="false">Desglose!J4</f>
        <v>Ritual Dúo con kit</v>
      </c>
      <c r="B13" s="5" t="n">
        <f aca="false">Desglose!J5</f>
        <v>179</v>
      </c>
      <c r="C13" s="6" t="n">
        <f aca="false">Desglose!J21</f>
        <v>48.6579974982881</v>
      </c>
      <c r="D13" s="6" t="n">
        <f aca="false">Desglose!J23</f>
        <v>17.6579974982881</v>
      </c>
      <c r="E13" s="7" t="n">
        <f aca="false">Desglose!J24</f>
        <v>0.0986480307166934</v>
      </c>
      <c r="F13" s="6" t="n">
        <f aca="false">Desglose!J36</f>
        <v>75.8224968728601</v>
      </c>
      <c r="G13" s="6" t="n">
        <f aca="false">Desglose!J38</f>
        <v>44.8224968728601</v>
      </c>
      <c r="H13" s="7" t="n">
        <f aca="false">Desglose!J39</f>
        <v>0.250405010462906</v>
      </c>
    </row>
    <row r="14" customFormat="false" ht="15" hidden="false" customHeight="false" outlineLevel="0" collapsed="false">
      <c r="A14" s="4" t="str">
        <f aca="false">Desglose!K4</f>
        <v>Ritual Familia con kit</v>
      </c>
      <c r="B14" s="5" t="n">
        <f aca="false">Desglose!K5</f>
        <v>249</v>
      </c>
      <c r="C14" s="6" t="n">
        <f aca="false">Desglose!K21</f>
        <v>68.4373092643813</v>
      </c>
      <c r="D14" s="6" t="n">
        <f aca="false">Desglose!K23</f>
        <v>37.4373092643813</v>
      </c>
      <c r="E14" s="7" t="n">
        <f aca="false">Desglose!K24</f>
        <v>0.150350639615989</v>
      </c>
      <c r="F14" s="6" t="n">
        <f aca="false">Desglose!K36</f>
        <v>100.546636580477</v>
      </c>
      <c r="G14" s="6" t="n">
        <f aca="false">Desglose!K38</f>
        <v>69.5466365804767</v>
      </c>
      <c r="H14" s="7" t="n">
        <f aca="false">Desglose!K39</f>
        <v>0.279303761367376</v>
      </c>
    </row>
    <row r="15" customFormat="false" ht="15" hidden="false" customHeight="false" outlineLevel="0" collapsed="false">
      <c r="A15" s="4" t="str">
        <f aca="false">Desglose!L4</f>
        <v>Repuesto Nativo</v>
      </c>
      <c r="B15" s="5" t="n">
        <f aca="false">Desglose!L5</f>
        <v>199</v>
      </c>
      <c r="C15" s="6" t="n">
        <f aca="false">Desglose!L21</f>
        <v>111.698973695893</v>
      </c>
      <c r="D15" s="6" t="n">
        <f aca="false">Desglose!L23</f>
        <v>111.698973695893</v>
      </c>
      <c r="E15" s="7" t="n">
        <f aca="false">Desglose!L24</f>
        <v>0.561301375356248</v>
      </c>
      <c r="F15" s="6" t="n">
        <f aca="false">Desglose!L36</f>
        <v>154.623717119867</v>
      </c>
      <c r="G15" s="6" t="n">
        <f aca="false">Desglose!L38</f>
        <v>154.623717119867</v>
      </c>
      <c r="H15" s="7" t="n">
        <f aca="false">Desglose!L39</f>
        <v>0.777003603617421</v>
      </c>
    </row>
    <row r="16" customFormat="false" ht="15" hidden="false" customHeight="false" outlineLevel="0" collapsed="false">
      <c r="A16" s="4" t="str">
        <f aca="false">Desglose!M4</f>
        <v>Repuesto Vivo</v>
      </c>
      <c r="B16" s="5" t="n">
        <f aca="false">Desglose!M5</f>
        <v>99</v>
      </c>
      <c r="C16" s="6" t="n">
        <f aca="false">Desglose!M21</f>
        <v>46.3159635264018</v>
      </c>
      <c r="D16" s="6" t="n">
        <f aca="false">Desglose!M23</f>
        <v>46.3159635264018</v>
      </c>
      <c r="E16" s="7" t="n">
        <f aca="false">Desglose!M24</f>
        <v>0.4678380154182</v>
      </c>
      <c r="F16" s="6" t="n">
        <f aca="false">Desglose!M36</f>
        <v>72.8949544080023</v>
      </c>
      <c r="G16" s="6" t="n">
        <f aca="false">Desglose!M38</f>
        <v>72.8949544080023</v>
      </c>
      <c r="H16" s="7" t="n">
        <f aca="false">Desglose!M39</f>
        <v>0.736312670787902</v>
      </c>
    </row>
    <row r="17" customFormat="false" ht="15" hidden="false" customHeight="false" outlineLevel="0" collapsed="false">
      <c r="A17" s="4" t="str">
        <f aca="false">Desglose!N4</f>
        <v>Repuesto Ritual</v>
      </c>
      <c r="B17" s="5" t="n">
        <f aca="false">Desglose!N5</f>
        <v>49</v>
      </c>
      <c r="C17" s="6" t="n">
        <f aca="false">Desglose!N21</f>
        <v>2.64327730677542</v>
      </c>
      <c r="D17" s="6" t="n">
        <f aca="false">Desglose!N23</f>
        <v>2.64327730677542</v>
      </c>
      <c r="E17" s="7" t="n">
        <f aca="false">Desglose!N24</f>
        <v>0.0539444348321514</v>
      </c>
      <c r="F17" s="6" t="n">
        <f aca="false">Desglose!N36</f>
        <v>18.3040966334693</v>
      </c>
      <c r="G17" s="6" t="n">
        <f aca="false">Desglose!N38</f>
        <v>18.3040966334693</v>
      </c>
      <c r="H17" s="7" t="n">
        <f aca="false">Desglose!N39</f>
        <v>0.373552992519781</v>
      </c>
    </row>
    <row r="19" customFormat="false" ht="15" hidden="false" customHeight="false" outlineLevel="0" collapsed="false">
      <c r="A19" s="2" t="s">
        <v>10</v>
      </c>
    </row>
    <row r="20" customFormat="false" ht="15" hidden="false" customHeight="false" outlineLevel="0" collapsed="false">
      <c r="A20" s="2" t="s">
        <v>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16"/>
    <col collapsed="false" customWidth="true" hidden="false" outlineLevel="0" max="3" min="3" style="0" width="95"/>
  </cols>
  <sheetData>
    <row r="1" customFormat="false" ht="17.35" hidden="false" customHeight="false" outlineLevel="0" collapsed="false">
      <c r="A1" s="1" t="s">
        <v>12</v>
      </c>
    </row>
    <row r="2" customFormat="false" ht="15" hidden="false" customHeight="false" outlineLevel="0" collapsed="false">
      <c r="A2" s="2" t="s">
        <v>13</v>
      </c>
    </row>
    <row r="3" customFormat="false" ht="15" hidden="false" customHeight="false" outlineLevel="0" collapsed="false">
      <c r="A3" s="8" t="s">
        <v>14</v>
      </c>
      <c r="B3" s="9"/>
      <c r="C3" s="9"/>
    </row>
    <row r="4" customFormat="false" ht="15" hidden="false" customHeight="false" outlineLevel="0" collapsed="false">
      <c r="A4" s="10" t="s">
        <v>15</v>
      </c>
      <c r="B4" s="11" t="n">
        <v>0.18</v>
      </c>
      <c r="C4" s="2" t="s">
        <v>16</v>
      </c>
    </row>
    <row r="5" customFormat="false" ht="15" hidden="false" customHeight="false" outlineLevel="0" collapsed="false">
      <c r="A5" s="10" t="s">
        <v>17</v>
      </c>
      <c r="B5" s="12" t="n">
        <v>3.5</v>
      </c>
      <c r="C5" s="2" t="s">
        <v>18</v>
      </c>
    </row>
    <row r="6" customFormat="false" ht="15" hidden="false" customHeight="false" outlineLevel="0" collapsed="false">
      <c r="A6" s="10" t="s">
        <v>19</v>
      </c>
      <c r="B6" s="13" t="n">
        <v>31</v>
      </c>
      <c r="C6" s="2" t="s">
        <v>20</v>
      </c>
    </row>
    <row r="7" customFormat="false" ht="15" hidden="false" customHeight="false" outlineLevel="0" collapsed="false">
      <c r="A7" s="10" t="s">
        <v>21</v>
      </c>
      <c r="B7" s="11" t="n">
        <v>0.8</v>
      </c>
      <c r="C7" s="2" t="s">
        <v>22</v>
      </c>
    </row>
    <row r="8" customFormat="false" ht="15" hidden="false" customHeight="false" outlineLevel="0" collapsed="false">
      <c r="A8" s="10" t="s">
        <v>23</v>
      </c>
      <c r="B8" s="11" t="n">
        <v>1</v>
      </c>
      <c r="C8" s="2" t="s">
        <v>24</v>
      </c>
    </row>
    <row r="10" customFormat="false" ht="15" hidden="false" customHeight="false" outlineLevel="0" collapsed="false">
      <c r="A10" s="8" t="s">
        <v>25</v>
      </c>
      <c r="B10" s="9"/>
      <c r="C10" s="9"/>
    </row>
    <row r="11" customFormat="false" ht="15" hidden="false" customHeight="false" outlineLevel="0" collapsed="false">
      <c r="A11" s="10" t="s">
        <v>26</v>
      </c>
      <c r="B11" s="14" t="n">
        <f aca="false">Costo_Lima!F35</f>
        <v>22.4199114837147</v>
      </c>
      <c r="C11" s="2" t="s">
        <v>27</v>
      </c>
    </row>
    <row r="12" customFormat="false" ht="15" hidden="false" customHeight="false" outlineLevel="0" collapsed="false">
      <c r="A12" s="10" t="s">
        <v>28</v>
      </c>
      <c r="B12" s="14" t="n">
        <f aca="false">Costo_Lima!F36</f>
        <v>2.51652067674348</v>
      </c>
      <c r="C12" s="2"/>
    </row>
    <row r="13" customFormat="false" ht="15" hidden="false" customHeight="false" outlineLevel="0" collapsed="false">
      <c r="A13" s="10" t="s">
        <v>29</v>
      </c>
      <c r="B13" s="14" t="n">
        <f aca="false">Costo_Lima!F37</f>
        <v>16.2429970953443</v>
      </c>
      <c r="C13" s="2" t="s">
        <v>30</v>
      </c>
    </row>
    <row r="15" customFormat="false" ht="15" hidden="false" customHeight="false" outlineLevel="0" collapsed="false">
      <c r="A15" s="8" t="s">
        <v>31</v>
      </c>
      <c r="B15" s="9"/>
      <c r="C15" s="9"/>
    </row>
    <row r="16" customFormat="false" ht="15" hidden="false" customHeight="false" outlineLevel="0" collapsed="false">
      <c r="A16" s="10" t="s">
        <v>32</v>
      </c>
      <c r="B16" s="13" t="n">
        <v>3.5</v>
      </c>
      <c r="C16" s="2" t="s">
        <v>33</v>
      </c>
    </row>
    <row r="17" customFormat="false" ht="15" hidden="false" customHeight="false" outlineLevel="0" collapsed="false">
      <c r="A17" s="10" t="s">
        <v>34</v>
      </c>
      <c r="B17" s="13" t="n">
        <v>5</v>
      </c>
      <c r="C17" s="2" t="s">
        <v>33</v>
      </c>
    </row>
    <row r="18" customFormat="false" ht="15" hidden="false" customHeight="false" outlineLevel="0" collapsed="false">
      <c r="A18" s="10" t="s">
        <v>35</v>
      </c>
      <c r="B18" s="13" t="n">
        <v>12.5</v>
      </c>
      <c r="C18" s="2" t="s">
        <v>36</v>
      </c>
    </row>
    <row r="19" customFormat="false" ht="15" hidden="false" customHeight="false" outlineLevel="0" collapsed="false">
      <c r="A19" s="10" t="s">
        <v>37</v>
      </c>
      <c r="B19" s="13" t="n">
        <v>50</v>
      </c>
      <c r="C19" s="2" t="s">
        <v>38</v>
      </c>
    </row>
    <row r="20" customFormat="false" ht="15" hidden="false" customHeight="false" outlineLevel="0" collapsed="false">
      <c r="A20" s="10" t="s">
        <v>39</v>
      </c>
      <c r="B20" s="15" t="n">
        <v>1</v>
      </c>
      <c r="C20" s="2" t="s">
        <v>40</v>
      </c>
    </row>
    <row r="22" customFormat="false" ht="15" hidden="false" customHeight="false" outlineLevel="0" collapsed="false">
      <c r="A22" s="8" t="s">
        <v>41</v>
      </c>
      <c r="B22" s="9"/>
      <c r="C22" s="9"/>
    </row>
    <row r="23" customFormat="false" ht="15" hidden="false" customHeight="false" outlineLevel="0" collapsed="false">
      <c r="A23" s="10" t="s">
        <v>42</v>
      </c>
      <c r="B23" s="11" t="n">
        <v>0.5</v>
      </c>
      <c r="C23" s="2" t="s">
        <v>43</v>
      </c>
    </row>
    <row r="24" customFormat="false" ht="15" hidden="false" customHeight="false" outlineLevel="0" collapsed="false">
      <c r="A24" s="10" t="s">
        <v>44</v>
      </c>
      <c r="B24" s="11" t="n">
        <v>0.2</v>
      </c>
      <c r="C24" s="2" t="s">
        <v>45</v>
      </c>
    </row>
    <row r="25" customFormat="false" ht="15" hidden="false" customHeight="false" outlineLevel="0" collapsed="false">
      <c r="A25" s="10" t="s">
        <v>46</v>
      </c>
      <c r="B25" s="11" t="n">
        <v>0.15</v>
      </c>
      <c r="C25" s="2" t="s">
        <v>45</v>
      </c>
    </row>
    <row r="26" customFormat="false" ht="15" hidden="false" customHeight="false" outlineLevel="0" collapsed="false">
      <c r="A26" s="10" t="s">
        <v>47</v>
      </c>
      <c r="B26" s="11" t="n">
        <v>0.15</v>
      </c>
      <c r="C26" s="2" t="s">
        <v>45</v>
      </c>
    </row>
    <row r="27" customFormat="false" ht="15" hidden="false" customHeight="false" outlineLevel="0" collapsed="false">
      <c r="A27" s="10" t="s">
        <v>48</v>
      </c>
      <c r="B27" s="16" t="n">
        <v>0.0349</v>
      </c>
      <c r="C27" s="2" t="s">
        <v>49</v>
      </c>
    </row>
    <row r="28" customFormat="false" ht="15" hidden="false" customHeight="false" outlineLevel="0" collapsed="false">
      <c r="A28" s="10" t="s">
        <v>50</v>
      </c>
      <c r="B28" s="16" t="n">
        <v>0.0648</v>
      </c>
      <c r="C28" s="2" t="s">
        <v>51</v>
      </c>
    </row>
    <row r="29" customFormat="false" ht="15" hidden="false" customHeight="false" outlineLevel="0" collapsed="false">
      <c r="A29" s="10" t="s">
        <v>52</v>
      </c>
      <c r="B29" s="16" t="n">
        <v>0.0898</v>
      </c>
      <c r="C29" s="2" t="s">
        <v>53</v>
      </c>
    </row>
    <row r="30" customFormat="false" ht="15" hidden="false" customHeight="false" outlineLevel="0" collapsed="false">
      <c r="A30" s="10" t="s">
        <v>54</v>
      </c>
      <c r="B30" s="13" t="n">
        <v>1</v>
      </c>
      <c r="C30" s="2" t="s">
        <v>55</v>
      </c>
    </row>
    <row r="31" customFormat="false" ht="15" hidden="false" customHeight="false" outlineLevel="0" collapsed="false">
      <c r="A31" s="10" t="s">
        <v>56</v>
      </c>
      <c r="B31" s="17" t="n">
        <f aca="false">B24*B27+B25*B28+B26*B29</f>
        <v>0.03017</v>
      </c>
      <c r="C31" s="2"/>
    </row>
    <row r="32" customFormat="false" ht="15" hidden="false" customHeight="false" outlineLevel="0" collapsed="false">
      <c r="A32" s="10" t="s">
        <v>57</v>
      </c>
      <c r="B32" s="18" t="n">
        <f aca="false">(B24+B25+B26)*B30</f>
        <v>0.5</v>
      </c>
      <c r="C32" s="2"/>
    </row>
    <row r="33" customFormat="false" ht="15" hidden="false" customHeight="false" outlineLevel="0" collapsed="false">
      <c r="A33" s="10" t="s">
        <v>58</v>
      </c>
      <c r="B33" s="19" t="n">
        <f aca="false">SUM(B23:B26)</f>
        <v>1</v>
      </c>
      <c r="C33" s="2"/>
    </row>
    <row r="35" customFormat="false" ht="15" hidden="false" customHeight="false" outlineLevel="0" collapsed="false">
      <c r="A35" s="8" t="s">
        <v>59</v>
      </c>
      <c r="B35" s="9"/>
      <c r="C35" s="9"/>
    </row>
    <row r="36" customFormat="false" ht="15" hidden="false" customHeight="false" outlineLevel="0" collapsed="false">
      <c r="A36" s="10" t="s">
        <v>60</v>
      </c>
      <c r="B36" s="13" t="n">
        <v>400</v>
      </c>
      <c r="C36" s="2" t="s">
        <v>55</v>
      </c>
    </row>
    <row r="37" customFormat="false" ht="15" hidden="false" customHeight="false" outlineLevel="0" collapsed="false">
      <c r="A37" s="10" t="s">
        <v>61</v>
      </c>
      <c r="B37" s="20" t="n">
        <v>100</v>
      </c>
      <c r="C37" s="2" t="s">
        <v>62</v>
      </c>
    </row>
    <row r="38" customFormat="false" ht="15" hidden="false" customHeight="false" outlineLevel="0" collapsed="false">
      <c r="A38" s="10" t="s">
        <v>63</v>
      </c>
      <c r="B38" s="18" t="n">
        <f aca="false">B36/B37</f>
        <v>4</v>
      </c>
      <c r="C38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4" min="2" style="0" width="15"/>
  </cols>
  <sheetData>
    <row r="1" customFormat="false" ht="17.35" hidden="false" customHeight="false" outlineLevel="0" collapsed="false">
      <c r="A1" s="1" t="s">
        <v>64</v>
      </c>
    </row>
    <row r="2" customFormat="false" ht="15" hidden="false" customHeight="false" outlineLevel="0" collapsed="false">
      <c r="A2" s="2" t="s">
        <v>65</v>
      </c>
    </row>
    <row r="4" customFormat="false" ht="31.5" hidden="false" customHeight="true" outlineLevel="0" collapsed="false">
      <c r="A4" s="21" t="s">
        <v>2</v>
      </c>
      <c r="B4" s="22" t="s">
        <v>66</v>
      </c>
      <c r="C4" s="22" t="s">
        <v>67</v>
      </c>
      <c r="D4" s="22" t="s">
        <v>68</v>
      </c>
      <c r="E4" s="22" t="s">
        <v>69</v>
      </c>
      <c r="F4" s="22" t="s">
        <v>70</v>
      </c>
      <c r="G4" s="22" t="s">
        <v>71</v>
      </c>
      <c r="H4" s="22" t="s">
        <v>72</v>
      </c>
      <c r="I4" s="22" t="s">
        <v>73</v>
      </c>
      <c r="J4" s="22" t="s">
        <v>74</v>
      </c>
      <c r="K4" s="22" t="s">
        <v>75</v>
      </c>
      <c r="L4" s="22" t="s">
        <v>76</v>
      </c>
      <c r="M4" s="22" t="s">
        <v>77</v>
      </c>
      <c r="N4" s="22" t="s">
        <v>78</v>
      </c>
    </row>
    <row r="5" customFormat="false" ht="15" hidden="false" customHeight="false" outlineLevel="0" collapsed="false">
      <c r="A5" s="10" t="s">
        <v>79</v>
      </c>
      <c r="B5" s="20" t="n">
        <v>299</v>
      </c>
      <c r="C5" s="20" t="n">
        <v>349</v>
      </c>
      <c r="D5" s="20" t="n">
        <v>399</v>
      </c>
      <c r="E5" s="20" t="n">
        <v>199</v>
      </c>
      <c r="F5" s="20" t="n">
        <v>249</v>
      </c>
      <c r="G5" s="20" t="n">
        <v>329</v>
      </c>
      <c r="H5" s="20" t="n">
        <v>99</v>
      </c>
      <c r="I5" s="20" t="n">
        <v>99</v>
      </c>
      <c r="J5" s="20" t="n">
        <v>179</v>
      </c>
      <c r="K5" s="20" t="n">
        <v>249</v>
      </c>
      <c r="L5" s="20" t="n">
        <v>199</v>
      </c>
      <c r="M5" s="20" t="n">
        <v>99</v>
      </c>
      <c r="N5" s="20" t="n">
        <v>49</v>
      </c>
    </row>
    <row r="6" customFormat="false" ht="15" hidden="false" customHeight="false" outlineLevel="0" collapsed="false">
      <c r="A6" s="10" t="s">
        <v>80</v>
      </c>
      <c r="B6" s="23" t="n">
        <v>1</v>
      </c>
      <c r="C6" s="23" t="n">
        <v>1</v>
      </c>
      <c r="D6" s="23" t="n">
        <v>1</v>
      </c>
      <c r="E6" s="23" t="n">
        <v>1</v>
      </c>
      <c r="F6" s="23" t="n">
        <v>1</v>
      </c>
      <c r="G6" s="23" t="n">
        <v>1</v>
      </c>
      <c r="H6" s="23" t="n">
        <v>0</v>
      </c>
      <c r="I6" s="23" t="n">
        <v>0</v>
      </c>
      <c r="J6" s="23" t="n">
        <v>0</v>
      </c>
      <c r="K6" s="23" t="n">
        <v>0</v>
      </c>
      <c r="L6" s="23" t="n">
        <v>0</v>
      </c>
      <c r="M6" s="23" t="n">
        <v>0</v>
      </c>
      <c r="N6" s="23" t="n">
        <v>0</v>
      </c>
    </row>
    <row r="7" customFormat="false" ht="15" hidden="false" customHeight="false" outlineLevel="0" collapsed="false">
      <c r="A7" s="10" t="s">
        <v>81</v>
      </c>
      <c r="B7" s="23" t="n">
        <v>0</v>
      </c>
      <c r="C7" s="23" t="n">
        <v>1</v>
      </c>
      <c r="D7" s="23" t="n">
        <v>3</v>
      </c>
      <c r="E7" s="23" t="n">
        <v>0</v>
      </c>
      <c r="F7" s="23" t="n">
        <v>1</v>
      </c>
      <c r="G7" s="23" t="n">
        <v>3</v>
      </c>
      <c r="H7" s="23" t="n">
        <v>0</v>
      </c>
      <c r="I7" s="23" t="n">
        <v>0</v>
      </c>
      <c r="J7" s="23" t="n">
        <v>0</v>
      </c>
      <c r="K7" s="23" t="n">
        <v>0</v>
      </c>
      <c r="L7" s="23" t="n">
        <v>1</v>
      </c>
      <c r="M7" s="23" t="n">
        <v>1</v>
      </c>
      <c r="N7" s="23" t="n">
        <v>0</v>
      </c>
    </row>
    <row r="8" customFormat="false" ht="15" hidden="false" customHeight="false" outlineLevel="0" collapsed="false">
      <c r="A8" s="10" t="s">
        <v>82</v>
      </c>
      <c r="B8" s="23" t="n">
        <v>0</v>
      </c>
      <c r="C8" s="23" t="n">
        <v>0</v>
      </c>
      <c r="D8" s="23" t="n">
        <v>0</v>
      </c>
      <c r="E8" s="23" t="n">
        <v>0</v>
      </c>
      <c r="F8" s="23" t="n">
        <v>0</v>
      </c>
      <c r="G8" s="23" t="n">
        <v>0</v>
      </c>
      <c r="H8" s="23" t="n">
        <v>1</v>
      </c>
      <c r="I8" s="23" t="n">
        <v>2</v>
      </c>
      <c r="J8" s="23" t="n">
        <v>4</v>
      </c>
      <c r="K8" s="23" t="n">
        <v>6</v>
      </c>
      <c r="L8" s="23" t="n">
        <v>0</v>
      </c>
      <c r="M8" s="23" t="n">
        <v>0</v>
      </c>
      <c r="N8" s="23" t="n">
        <v>1</v>
      </c>
    </row>
    <row r="9" customFormat="false" ht="15" hidden="false" customHeight="false" outlineLevel="0" collapsed="false">
      <c r="A9" s="10" t="s">
        <v>83</v>
      </c>
      <c r="B9" s="23" t="n">
        <v>1</v>
      </c>
      <c r="C9" s="23" t="n">
        <v>1</v>
      </c>
      <c r="D9" s="23" t="n">
        <v>1</v>
      </c>
      <c r="E9" s="23" t="n">
        <v>1</v>
      </c>
      <c r="F9" s="23" t="n">
        <v>1</v>
      </c>
      <c r="G9" s="23" t="n">
        <v>1</v>
      </c>
      <c r="H9" s="23" t="n">
        <v>1</v>
      </c>
      <c r="I9" s="23" t="n">
        <v>1</v>
      </c>
      <c r="J9" s="23" t="n">
        <v>1</v>
      </c>
      <c r="K9" s="23" t="n">
        <v>1</v>
      </c>
      <c r="L9" s="23" t="n">
        <v>0</v>
      </c>
      <c r="M9" s="23" t="n">
        <v>0</v>
      </c>
      <c r="N9" s="23" t="n">
        <v>0</v>
      </c>
    </row>
    <row r="11" customFormat="false" ht="15" hidden="false" customHeight="false" outlineLevel="0" collapsed="false">
      <c r="A11" s="8" t="s">
        <v>84</v>
      </c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</row>
    <row r="12" customFormat="false" ht="15" hidden="false" customHeight="false" outlineLevel="0" collapsed="false">
      <c r="A12" s="10" t="s">
        <v>85</v>
      </c>
      <c r="B12" s="24" t="n">
        <f aca="false">B5</f>
        <v>299</v>
      </c>
      <c r="C12" s="24" t="n">
        <f aca="false">C5</f>
        <v>349</v>
      </c>
      <c r="D12" s="24" t="n">
        <f aca="false">D5</f>
        <v>399</v>
      </c>
      <c r="E12" s="24" t="n">
        <f aca="false">E5</f>
        <v>199</v>
      </c>
      <c r="F12" s="24" t="n">
        <f aca="false">F5</f>
        <v>249</v>
      </c>
      <c r="G12" s="24" t="n">
        <f aca="false">G5</f>
        <v>329</v>
      </c>
      <c r="H12" s="24" t="n">
        <f aca="false">H5</f>
        <v>99</v>
      </c>
      <c r="I12" s="24" t="n">
        <f aca="false">I5</f>
        <v>99</v>
      </c>
      <c r="J12" s="24" t="n">
        <f aca="false">J5</f>
        <v>179</v>
      </c>
      <c r="K12" s="24" t="n">
        <f aca="false">K5</f>
        <v>249</v>
      </c>
      <c r="L12" s="24" t="n">
        <f aca="false">L5</f>
        <v>199</v>
      </c>
      <c r="M12" s="24" t="n">
        <f aca="false">M5</f>
        <v>99</v>
      </c>
      <c r="N12" s="24" t="n">
        <f aca="false">N5</f>
        <v>49</v>
      </c>
    </row>
    <row r="13" customFormat="false" ht="15" hidden="false" customHeight="false" outlineLevel="0" collapsed="false">
      <c r="A13" s="10" t="s">
        <v>15</v>
      </c>
      <c r="B13" s="24" t="n">
        <f aca="false">-(B5-B5/(1+Supuestos!$B$4))</f>
        <v>-45.6101694915254</v>
      </c>
      <c r="C13" s="24" t="n">
        <f aca="false">-(C5-C5/(1+Supuestos!$B$4))</f>
        <v>-53.2372881355932</v>
      </c>
      <c r="D13" s="24" t="n">
        <f aca="false">-(D5-D5/(1+Supuestos!$B$4))</f>
        <v>-60.864406779661</v>
      </c>
      <c r="E13" s="24" t="n">
        <f aca="false">-(E5-E5/(1+Supuestos!$B$4))</f>
        <v>-30.3559322033898</v>
      </c>
      <c r="F13" s="24" t="n">
        <f aca="false">-(F5-F5/(1+Supuestos!$B$4))</f>
        <v>-37.9830508474576</v>
      </c>
      <c r="G13" s="24" t="n">
        <f aca="false">-(G5-G5/(1+Supuestos!$B$4))</f>
        <v>-50.1864406779661</v>
      </c>
      <c r="H13" s="24" t="n">
        <f aca="false">-(H5-H5/(1+Supuestos!$B$4))</f>
        <v>-15.1016949152542</v>
      </c>
      <c r="I13" s="24" t="n">
        <f aca="false">-(I5-I5/(1+Supuestos!$B$4))</f>
        <v>-15.1016949152542</v>
      </c>
      <c r="J13" s="24" t="n">
        <f aca="false">-(J5-J5/(1+Supuestos!$B$4))</f>
        <v>-27.3050847457627</v>
      </c>
      <c r="K13" s="24" t="n">
        <f aca="false">-(K5-K5/(1+Supuestos!$B$4))</f>
        <v>-37.9830508474576</v>
      </c>
      <c r="L13" s="24" t="n">
        <f aca="false">-(L5-L5/(1+Supuestos!$B$4))</f>
        <v>-30.3559322033898</v>
      </c>
      <c r="M13" s="24" t="n">
        <f aca="false">-(M5-M5/(1+Supuestos!$B$4))</f>
        <v>-15.1016949152542</v>
      </c>
      <c r="N13" s="24" t="n">
        <f aca="false">-(N5-N5/(1+Supuestos!$B$4))</f>
        <v>-7.47457627118644</v>
      </c>
    </row>
    <row r="14" customFormat="false" ht="15" hidden="false" customHeight="false" outlineLevel="0" collapsed="false">
      <c r="A14" s="25" t="s">
        <v>86</v>
      </c>
      <c r="B14" s="26" t="n">
        <f aca="false">B5/(1+Supuestos!$B$4)</f>
        <v>253.389830508475</v>
      </c>
      <c r="C14" s="26" t="n">
        <f aca="false">C5/(1+Supuestos!$B$4)</f>
        <v>295.762711864407</v>
      </c>
      <c r="D14" s="26" t="n">
        <f aca="false">D5/(1+Supuestos!$B$4)</f>
        <v>338.135593220339</v>
      </c>
      <c r="E14" s="26" t="n">
        <f aca="false">E5/(1+Supuestos!$B$4)</f>
        <v>168.64406779661</v>
      </c>
      <c r="F14" s="26" t="n">
        <f aca="false">F5/(1+Supuestos!$B$4)</f>
        <v>211.016949152542</v>
      </c>
      <c r="G14" s="26" t="n">
        <f aca="false">G5/(1+Supuestos!$B$4)</f>
        <v>278.813559322034</v>
      </c>
      <c r="H14" s="26" t="n">
        <f aca="false">H5/(1+Supuestos!$B$4)</f>
        <v>83.8983050847458</v>
      </c>
      <c r="I14" s="26" t="n">
        <f aca="false">I5/(1+Supuestos!$B$4)</f>
        <v>83.8983050847458</v>
      </c>
      <c r="J14" s="26" t="n">
        <f aca="false">J5/(1+Supuestos!$B$4)</f>
        <v>151.694915254237</v>
      </c>
      <c r="K14" s="26" t="n">
        <f aca="false">K5/(1+Supuestos!$B$4)</f>
        <v>211.016949152542</v>
      </c>
      <c r="L14" s="26" t="n">
        <f aca="false">L5/(1+Supuestos!$B$4)</f>
        <v>168.64406779661</v>
      </c>
      <c r="M14" s="26" t="n">
        <f aca="false">M5/(1+Supuestos!$B$4)</f>
        <v>83.8983050847458</v>
      </c>
      <c r="N14" s="26" t="n">
        <f aca="false">N5/(1+Supuestos!$B$4)</f>
        <v>41.5254237288136</v>
      </c>
    </row>
    <row r="15" customFormat="false" ht="15" hidden="false" customHeight="false" outlineLevel="0" collapsed="false">
      <c r="A15" s="10" t="s">
        <v>2</v>
      </c>
      <c r="B15" s="24" t="n">
        <f aca="false">-(B6*Supuestos!$B$11+B7*Supuestos!$B$12+B8*Supuestos!$B$13)</f>
        <v>-22.4199114837147</v>
      </c>
      <c r="C15" s="24" t="n">
        <f aca="false">-(C6*Supuestos!$B$11+C7*Supuestos!$B$12+C8*Supuestos!$B$13)</f>
        <v>-24.9364321604581</v>
      </c>
      <c r="D15" s="24" t="n">
        <f aca="false">-(D6*Supuestos!$B$11+D7*Supuestos!$B$12+D8*Supuestos!$B$13)</f>
        <v>-29.9694735139451</v>
      </c>
      <c r="E15" s="24" t="n">
        <f aca="false">-(E6*Supuestos!$B$11+E7*Supuestos!$B$12+E8*Supuestos!$B$13)</f>
        <v>-22.4199114837147</v>
      </c>
      <c r="F15" s="24" t="n">
        <f aca="false">-(F6*Supuestos!$B$11+F7*Supuestos!$B$12+F8*Supuestos!$B$13)</f>
        <v>-24.9364321604581</v>
      </c>
      <c r="G15" s="24" t="n">
        <f aca="false">-(G6*Supuestos!$B$11+G7*Supuestos!$B$12+G8*Supuestos!$B$13)</f>
        <v>-29.9694735139451</v>
      </c>
      <c r="H15" s="24" t="n">
        <f aca="false">-(H6*Supuestos!$B$11+H7*Supuestos!$B$12+H8*Supuestos!$B$13)</f>
        <v>-16.2429970953443</v>
      </c>
      <c r="I15" s="24" t="n">
        <f aca="false">-(I6*Supuestos!$B$11+I7*Supuestos!$B$12+I8*Supuestos!$B$13)</f>
        <v>-32.4859941906886</v>
      </c>
      <c r="J15" s="24" t="n">
        <f aca="false">-(J6*Supuestos!$B$11+J7*Supuestos!$B$12+J8*Supuestos!$B$13)</f>
        <v>-64.9719883813772</v>
      </c>
      <c r="K15" s="24" t="n">
        <f aca="false">-(K6*Supuestos!$B$11+K7*Supuestos!$B$12+K8*Supuestos!$B$13)</f>
        <v>-97.4579825720657</v>
      </c>
      <c r="L15" s="24" t="n">
        <f aca="false">-(L6*Supuestos!$B$11+L7*Supuestos!$B$12+L8*Supuestos!$B$13)</f>
        <v>-2.51652067674348</v>
      </c>
      <c r="M15" s="24" t="n">
        <f aca="false">-(M6*Supuestos!$B$11+M7*Supuestos!$B$12+M8*Supuestos!$B$13)</f>
        <v>-2.51652067674348</v>
      </c>
      <c r="N15" s="24" t="n">
        <f aca="false">-(N6*Supuestos!$B$11+N7*Supuestos!$B$12+N8*Supuestos!$B$13)</f>
        <v>-16.2429970953443</v>
      </c>
    </row>
    <row r="16" customFormat="false" ht="15" hidden="false" customHeight="false" outlineLevel="0" collapsed="false">
      <c r="A16" s="10" t="s">
        <v>87</v>
      </c>
      <c r="B16" s="24" t="n">
        <f aca="false">-(B5*Supuestos!$B$31+Supuestos!$B$32)</f>
        <v>-9.52083</v>
      </c>
      <c r="C16" s="24" t="n">
        <f aca="false">-(C5*Supuestos!$B$31+Supuestos!$B$32)</f>
        <v>-11.02933</v>
      </c>
      <c r="D16" s="24" t="n">
        <f aca="false">-(D5*Supuestos!$B$31+Supuestos!$B$32)</f>
        <v>-12.53783</v>
      </c>
      <c r="E16" s="24" t="n">
        <f aca="false">-(E5*Supuestos!$B$31+Supuestos!$B$32)</f>
        <v>-6.50383</v>
      </c>
      <c r="F16" s="24" t="n">
        <f aca="false">-(F5*Supuestos!$B$31+Supuestos!$B$32)</f>
        <v>-8.01233</v>
      </c>
      <c r="G16" s="24" t="n">
        <f aca="false">-(G5*Supuestos!$B$31+Supuestos!$B$32)</f>
        <v>-10.42593</v>
      </c>
      <c r="H16" s="24" t="n">
        <f aca="false">-(H5*Supuestos!$B$31+Supuestos!$B$32)</f>
        <v>-3.48683</v>
      </c>
      <c r="I16" s="24" t="n">
        <f aca="false">-(I5*Supuestos!$B$31+Supuestos!$B$32)</f>
        <v>-3.48683</v>
      </c>
      <c r="J16" s="24" t="n">
        <f aca="false">-(J5*Supuestos!$B$31+Supuestos!$B$32)</f>
        <v>-5.90043</v>
      </c>
      <c r="K16" s="24" t="n">
        <f aca="false">-(K5*Supuestos!$B$31+Supuestos!$B$32)</f>
        <v>-8.01233</v>
      </c>
      <c r="L16" s="24" t="n">
        <f aca="false">-(L5*Supuestos!$B$31+Supuestos!$B$32)</f>
        <v>-6.50383</v>
      </c>
      <c r="M16" s="24" t="n">
        <f aca="false">-(M5*Supuestos!$B$31+Supuestos!$B$32)</f>
        <v>-3.48683</v>
      </c>
      <c r="N16" s="24" t="n">
        <f aca="false">-(N5*Supuestos!$B$31+Supuestos!$B$32)</f>
        <v>-1.97833</v>
      </c>
    </row>
    <row r="17" customFormat="false" ht="15" hidden="false" customHeight="false" outlineLevel="0" collapsed="false">
      <c r="A17" s="10" t="s">
        <v>88</v>
      </c>
      <c r="B17" s="6" t="n">
        <f aca="false">-Supuestos!$B$16</f>
        <v>-3.5</v>
      </c>
      <c r="C17" s="6" t="n">
        <f aca="false">-Supuestos!$B$16</f>
        <v>-3.5</v>
      </c>
      <c r="D17" s="6" t="n">
        <f aca="false">-Supuestos!$B$16</f>
        <v>-3.5</v>
      </c>
      <c r="E17" s="6" t="n">
        <f aca="false">-Supuestos!$B$16</f>
        <v>-3.5</v>
      </c>
      <c r="F17" s="6" t="n">
        <f aca="false">-Supuestos!$B$16</f>
        <v>-3.5</v>
      </c>
      <c r="G17" s="6" t="n">
        <f aca="false">-Supuestos!$B$16</f>
        <v>-3.5</v>
      </c>
      <c r="H17" s="6" t="n">
        <f aca="false">-Supuestos!$B$16</f>
        <v>-3.5</v>
      </c>
      <c r="I17" s="6" t="n">
        <f aca="false">-Supuestos!$B$16</f>
        <v>-3.5</v>
      </c>
      <c r="J17" s="6" t="n">
        <f aca="false">-Supuestos!$B$16</f>
        <v>-3.5</v>
      </c>
      <c r="K17" s="6" t="n">
        <f aca="false">-Supuestos!$B$16</f>
        <v>-3.5</v>
      </c>
      <c r="L17" s="6" t="n">
        <f aca="false">-Supuestos!$B$16</f>
        <v>-3.5</v>
      </c>
      <c r="M17" s="6" t="n">
        <f aca="false">-Supuestos!$B$16</f>
        <v>-3.5</v>
      </c>
      <c r="N17" s="6" t="n">
        <f aca="false">-Supuestos!$B$16</f>
        <v>-3.5</v>
      </c>
    </row>
    <row r="18" customFormat="false" ht="15" hidden="false" customHeight="false" outlineLevel="0" collapsed="false">
      <c r="A18" s="10" t="s">
        <v>89</v>
      </c>
      <c r="B18" s="6" t="n">
        <f aca="false">-Supuestos!$B$18</f>
        <v>-12.5</v>
      </c>
      <c r="C18" s="6" t="n">
        <f aca="false">-Supuestos!$B$18</f>
        <v>-12.5</v>
      </c>
      <c r="D18" s="6" t="n">
        <f aca="false">-Supuestos!$B$18</f>
        <v>-12.5</v>
      </c>
      <c r="E18" s="6" t="n">
        <f aca="false">-Supuestos!$B$18</f>
        <v>-12.5</v>
      </c>
      <c r="F18" s="6" t="n">
        <f aca="false">-Supuestos!$B$18</f>
        <v>-12.5</v>
      </c>
      <c r="G18" s="6" t="n">
        <f aca="false">-Supuestos!$B$18</f>
        <v>-12.5</v>
      </c>
      <c r="H18" s="6" t="n">
        <f aca="false">-Supuestos!$B$18</f>
        <v>-12.5</v>
      </c>
      <c r="I18" s="6" t="n">
        <f aca="false">-Supuestos!$B$18</f>
        <v>-12.5</v>
      </c>
      <c r="J18" s="6" t="n">
        <f aca="false">-Supuestos!$B$18</f>
        <v>-12.5</v>
      </c>
      <c r="K18" s="6" t="n">
        <f aca="false">-Supuestos!$B$18</f>
        <v>-12.5</v>
      </c>
      <c r="L18" s="6" t="n">
        <f aca="false">-Supuestos!$B$18</f>
        <v>-12.5</v>
      </c>
      <c r="M18" s="6" t="n">
        <f aca="false">-Supuestos!$B$18</f>
        <v>-12.5</v>
      </c>
      <c r="N18" s="6" t="n">
        <f aca="false">-Supuestos!$B$18</f>
        <v>-12.5</v>
      </c>
    </row>
    <row r="19" customFormat="false" ht="15" hidden="false" customHeight="false" outlineLevel="0" collapsed="false">
      <c r="A19" s="25" t="s">
        <v>90</v>
      </c>
      <c r="B19" s="26" t="n">
        <f aca="false">SUM(B14:B18)</f>
        <v>205.44908902476</v>
      </c>
      <c r="C19" s="26" t="n">
        <f aca="false">SUM(C14:C18)</f>
        <v>243.796949703949</v>
      </c>
      <c r="D19" s="26" t="n">
        <f aca="false">SUM(D14:D18)</f>
        <v>279.628289706394</v>
      </c>
      <c r="E19" s="26" t="n">
        <f aca="false">SUM(E14:E18)</f>
        <v>123.720326312896</v>
      </c>
      <c r="F19" s="26" t="n">
        <f aca="false">SUM(F14:F18)</f>
        <v>162.068186992084</v>
      </c>
      <c r="G19" s="26" t="n">
        <f aca="false">SUM(G14:G18)</f>
        <v>222.418155808089</v>
      </c>
      <c r="H19" s="26" t="n">
        <f aca="false">SUM(H14:H18)</f>
        <v>48.1684779894015</v>
      </c>
      <c r="I19" s="26" t="n">
        <f aca="false">SUM(I14:I18)</f>
        <v>31.9254808940572</v>
      </c>
      <c r="J19" s="26" t="n">
        <f aca="false">SUM(J14:J18)</f>
        <v>64.8224968728601</v>
      </c>
      <c r="K19" s="26" t="n">
        <f aca="false">SUM(K14:K18)</f>
        <v>89.5466365804767</v>
      </c>
      <c r="L19" s="26" t="n">
        <f aca="false">SUM(L14:L18)</f>
        <v>143.623717119867</v>
      </c>
      <c r="M19" s="26" t="n">
        <f aca="false">SUM(M14:M18)</f>
        <v>61.8949544080023</v>
      </c>
      <c r="N19" s="26" t="n">
        <f aca="false">SUM(N14:N18)</f>
        <v>7.30409663346928</v>
      </c>
    </row>
    <row r="20" customFormat="false" ht="15" hidden="false" customHeight="false" outlineLevel="0" collapsed="false">
      <c r="A20" s="10" t="s">
        <v>91</v>
      </c>
      <c r="B20" s="24" t="n">
        <f aca="false">-(1-Supuestos!$B$7)*(B14+B15+B16)</f>
        <v>-44.289817804952</v>
      </c>
      <c r="C20" s="24" t="n">
        <f aca="false">-(1-Supuestos!$B$7)*(C14+C15+C16)</f>
        <v>-51.9593899407897</v>
      </c>
      <c r="D20" s="24" t="n">
        <f aca="false">-(1-Supuestos!$B$7)*(D14+D15+D16)</f>
        <v>-59.1256579412788</v>
      </c>
      <c r="E20" s="24" t="n">
        <f aca="false">-(1-Supuestos!$B$7)*(E14+E15+E16)</f>
        <v>-27.9440652625791</v>
      </c>
      <c r="F20" s="24" t="n">
        <f aca="false">-(1-Supuestos!$B$7)*(F14+F15+F16)</f>
        <v>-35.6136373984168</v>
      </c>
      <c r="G20" s="24" t="n">
        <f aca="false">-(1-Supuestos!$B$7)*(G14+G15+G16)</f>
        <v>-47.6836311616178</v>
      </c>
      <c r="H20" s="24" t="n">
        <f aca="false">-(1-Supuestos!$B$7)*(H14+H15+H16)</f>
        <v>-12.8336955978803</v>
      </c>
      <c r="I20" s="24" t="n">
        <f aca="false">-(1-Supuestos!$B$7)*(I14+I15+I16)</f>
        <v>-9.58509617881144</v>
      </c>
      <c r="J20" s="24" t="n">
        <f aca="false">-(1-Supuestos!$B$7)*(J14+J15+J16)</f>
        <v>-16.164499374572</v>
      </c>
      <c r="K20" s="24" t="n">
        <f aca="false">-(1-Supuestos!$B$7)*(K14+K15+K16)</f>
        <v>-21.1093273160953</v>
      </c>
      <c r="L20" s="24" t="n">
        <f aca="false">-(1-Supuestos!$B$7)*(L14+L15+L16)</f>
        <v>-31.9247434239733</v>
      </c>
      <c r="M20" s="24" t="n">
        <f aca="false">-(1-Supuestos!$B$7)*(M14+M15+M16)</f>
        <v>-15.5789908816005</v>
      </c>
      <c r="N20" s="24" t="n">
        <f aca="false">-(1-Supuestos!$B$7)*(N14+N15+N16)</f>
        <v>-4.66081932669385</v>
      </c>
    </row>
    <row r="21" customFormat="false" ht="15" hidden="false" customHeight="false" outlineLevel="0" collapsed="false">
      <c r="A21" s="25" t="s">
        <v>92</v>
      </c>
      <c r="B21" s="26" t="n">
        <f aca="false">B19+B20</f>
        <v>161.159271219808</v>
      </c>
      <c r="C21" s="26" t="n">
        <f aca="false">C19+C20</f>
        <v>191.837559763159</v>
      </c>
      <c r="D21" s="26" t="n">
        <f aca="false">D19+D20</f>
        <v>220.502631765115</v>
      </c>
      <c r="E21" s="26" t="n">
        <f aca="false">E19+E20</f>
        <v>95.7762610503164</v>
      </c>
      <c r="F21" s="26" t="n">
        <f aca="false">F19+F20</f>
        <v>126.454549593667</v>
      </c>
      <c r="G21" s="26" t="n">
        <f aca="false">G19+G20</f>
        <v>174.734524646471</v>
      </c>
      <c r="H21" s="26" t="n">
        <f aca="false">H19+H20</f>
        <v>35.3347823915212</v>
      </c>
      <c r="I21" s="26" t="n">
        <f aca="false">I19+I20</f>
        <v>22.3403847152458</v>
      </c>
      <c r="J21" s="26" t="n">
        <f aca="false">J19+J20</f>
        <v>48.6579974982881</v>
      </c>
      <c r="K21" s="26" t="n">
        <f aca="false">K19+K20</f>
        <v>68.4373092643813</v>
      </c>
      <c r="L21" s="26" t="n">
        <f aca="false">L19+L20</f>
        <v>111.698973695893</v>
      </c>
      <c r="M21" s="26" t="n">
        <f aca="false">M19+M20</f>
        <v>46.3159635264018</v>
      </c>
      <c r="N21" s="26" t="n">
        <f aca="false">N19+N20</f>
        <v>2.64327730677542</v>
      </c>
    </row>
    <row r="22" customFormat="false" ht="15" hidden="false" customHeight="false" outlineLevel="0" collapsed="false">
      <c r="A22" s="10" t="s">
        <v>93</v>
      </c>
      <c r="B22" s="24" t="n">
        <f aca="false">-Supuestos!$B$6*B9</f>
        <v>-31</v>
      </c>
      <c r="C22" s="24" t="n">
        <f aca="false">-Supuestos!$B$6*C9</f>
        <v>-31</v>
      </c>
      <c r="D22" s="24" t="n">
        <f aca="false">-Supuestos!$B$6*D9</f>
        <v>-31</v>
      </c>
      <c r="E22" s="24" t="n">
        <f aca="false">-Supuestos!$B$6*E9</f>
        <v>-31</v>
      </c>
      <c r="F22" s="24" t="n">
        <f aca="false">-Supuestos!$B$6*F9</f>
        <v>-31</v>
      </c>
      <c r="G22" s="24" t="n">
        <f aca="false">-Supuestos!$B$6*G9</f>
        <v>-31</v>
      </c>
      <c r="H22" s="24" t="n">
        <f aca="false">-Supuestos!$B$6*H9</f>
        <v>-31</v>
      </c>
      <c r="I22" s="24" t="n">
        <f aca="false">-Supuestos!$B$6*I9</f>
        <v>-31</v>
      </c>
      <c r="J22" s="24" t="n">
        <f aca="false">-Supuestos!$B$6*J9</f>
        <v>-31</v>
      </c>
      <c r="K22" s="24" t="n">
        <f aca="false">-Supuestos!$B$6*K9</f>
        <v>-31</v>
      </c>
      <c r="L22" s="24" t="n">
        <f aca="false">-Supuestos!$B$6*L9</f>
        <v>-0</v>
      </c>
      <c r="M22" s="24" t="n">
        <f aca="false">-Supuestos!$B$6*M9</f>
        <v>-0</v>
      </c>
      <c r="N22" s="24" t="n">
        <f aca="false">-Supuestos!$B$6*N9</f>
        <v>-0</v>
      </c>
    </row>
    <row r="23" customFormat="false" ht="15" hidden="false" customHeight="false" outlineLevel="0" collapsed="false">
      <c r="A23" s="25" t="s">
        <v>94</v>
      </c>
      <c r="B23" s="27" t="n">
        <f aca="false">B21+B22</f>
        <v>130.159271219808</v>
      </c>
      <c r="C23" s="27" t="n">
        <f aca="false">C21+C22</f>
        <v>160.837559763159</v>
      </c>
      <c r="D23" s="27" t="n">
        <f aca="false">D21+D22</f>
        <v>189.502631765115</v>
      </c>
      <c r="E23" s="27" t="n">
        <f aca="false">E21+E22</f>
        <v>64.7762610503164</v>
      </c>
      <c r="F23" s="27" t="n">
        <f aca="false">F21+F22</f>
        <v>95.4545495936674</v>
      </c>
      <c r="G23" s="27" t="n">
        <f aca="false">G21+G22</f>
        <v>143.734524646471</v>
      </c>
      <c r="H23" s="27" t="n">
        <f aca="false">H21+H22</f>
        <v>4.33478239152119</v>
      </c>
      <c r="I23" s="27" t="n">
        <f aca="false">I21+I22</f>
        <v>-8.65961528475424</v>
      </c>
      <c r="J23" s="27" t="n">
        <f aca="false">J21+J22</f>
        <v>17.6579974982881</v>
      </c>
      <c r="K23" s="27" t="n">
        <f aca="false">K21+K22</f>
        <v>37.4373092643813</v>
      </c>
      <c r="L23" s="27" t="n">
        <f aca="false">L21+L22</f>
        <v>111.698973695893</v>
      </c>
      <c r="M23" s="27" t="n">
        <f aca="false">M21+M22</f>
        <v>46.3159635264018</v>
      </c>
      <c r="N23" s="27" t="n">
        <f aca="false">N21+N22</f>
        <v>2.64327730677542</v>
      </c>
    </row>
    <row r="24" customFormat="false" ht="15" hidden="false" customHeight="false" outlineLevel="0" collapsed="false">
      <c r="A24" s="10" t="s">
        <v>95</v>
      </c>
      <c r="B24" s="19" t="n">
        <f aca="false">B23/B5</f>
        <v>0.435315288360562</v>
      </c>
      <c r="C24" s="19" t="n">
        <f aca="false">C23/C5</f>
        <v>0.460852606771229</v>
      </c>
      <c r="D24" s="19" t="n">
        <f aca="false">D23/D5</f>
        <v>0.47494393926094</v>
      </c>
      <c r="E24" s="19" t="n">
        <f aca="false">E23/E5</f>
        <v>0.325508849499078</v>
      </c>
      <c r="F24" s="19" t="n">
        <f aca="false">F23/F5</f>
        <v>0.383351604793845</v>
      </c>
      <c r="G24" s="19" t="n">
        <f aca="false">G23/G5</f>
        <v>0.43688305363669</v>
      </c>
      <c r="H24" s="19" t="n">
        <f aca="false">H23/H5</f>
        <v>0.0437856807224362</v>
      </c>
      <c r="I24" s="19" t="n">
        <f aca="false">I23/I5</f>
        <v>-0.0874708614621641</v>
      </c>
      <c r="J24" s="19" t="n">
        <f aca="false">J23/J5</f>
        <v>0.0986480307166934</v>
      </c>
      <c r="K24" s="19" t="n">
        <f aca="false">K23/K5</f>
        <v>0.150350639615989</v>
      </c>
      <c r="L24" s="19" t="n">
        <f aca="false">L23/L5</f>
        <v>0.561301375356248</v>
      </c>
      <c r="M24" s="19" t="n">
        <f aca="false">M23/M5</f>
        <v>0.4678380154182</v>
      </c>
      <c r="N24" s="19" t="n">
        <f aca="false">N23/N5</f>
        <v>0.0539444348321514</v>
      </c>
    </row>
    <row r="25" customFormat="false" ht="15" hidden="false" customHeight="false" outlineLevel="0" collapsed="false">
      <c r="A25" s="10" t="s">
        <v>96</v>
      </c>
      <c r="B25" s="6" t="n">
        <f aca="false">-Supuestos!$B$38</f>
        <v>-4</v>
      </c>
      <c r="C25" s="6" t="n">
        <f aca="false">-Supuestos!$B$38</f>
        <v>-4</v>
      </c>
      <c r="D25" s="6" t="n">
        <f aca="false">-Supuestos!$B$38</f>
        <v>-4</v>
      </c>
      <c r="E25" s="6" t="n">
        <f aca="false">-Supuestos!$B$38</f>
        <v>-4</v>
      </c>
      <c r="F25" s="6" t="n">
        <f aca="false">-Supuestos!$B$38</f>
        <v>-4</v>
      </c>
      <c r="G25" s="6" t="n">
        <f aca="false">-Supuestos!$B$38</f>
        <v>-4</v>
      </c>
      <c r="H25" s="6" t="n">
        <f aca="false">-Supuestos!$B$38</f>
        <v>-4</v>
      </c>
      <c r="I25" s="6" t="n">
        <f aca="false">-Supuestos!$B$38</f>
        <v>-4</v>
      </c>
      <c r="J25" s="6" t="n">
        <f aca="false">-Supuestos!$B$38</f>
        <v>-4</v>
      </c>
      <c r="K25" s="6" t="n">
        <f aca="false">-Supuestos!$B$38</f>
        <v>-4</v>
      </c>
      <c r="L25" s="6" t="n">
        <f aca="false">-Supuestos!$B$38</f>
        <v>-4</v>
      </c>
      <c r="M25" s="6" t="n">
        <f aca="false">-Supuestos!$B$38</f>
        <v>-4</v>
      </c>
      <c r="N25" s="6" t="n">
        <f aca="false">-Supuestos!$B$38</f>
        <v>-4</v>
      </c>
    </row>
    <row r="26" customFormat="false" ht="15" hidden="false" customHeight="false" outlineLevel="0" collapsed="false">
      <c r="A26" s="25" t="s">
        <v>97</v>
      </c>
      <c r="B26" s="26" t="n">
        <f aca="false">B23+B25</f>
        <v>126.159271219808</v>
      </c>
      <c r="C26" s="26" t="n">
        <f aca="false">C23+C25</f>
        <v>156.837559763159</v>
      </c>
      <c r="D26" s="26" t="n">
        <f aca="false">D23+D25</f>
        <v>185.502631765115</v>
      </c>
      <c r="E26" s="26" t="n">
        <f aca="false">E23+E25</f>
        <v>60.7762610503164</v>
      </c>
      <c r="F26" s="26" t="n">
        <f aca="false">F23+F25</f>
        <v>91.4545495936674</v>
      </c>
      <c r="G26" s="26" t="n">
        <f aca="false">G23+G25</f>
        <v>139.734524646471</v>
      </c>
      <c r="H26" s="26" t="n">
        <f aca="false">H23+H25</f>
        <v>0.334782391521188</v>
      </c>
      <c r="I26" s="26" t="n">
        <f aca="false">I23+I25</f>
        <v>-12.6596152847542</v>
      </c>
      <c r="J26" s="26" t="n">
        <f aca="false">J23+J25</f>
        <v>13.6579974982881</v>
      </c>
      <c r="K26" s="26" t="n">
        <f aca="false">K23+K25</f>
        <v>33.4373092643813</v>
      </c>
      <c r="L26" s="26" t="n">
        <f aca="false">L23+L25</f>
        <v>107.698973695893</v>
      </c>
      <c r="M26" s="26" t="n">
        <f aca="false">M23+M25</f>
        <v>42.3159635264018</v>
      </c>
      <c r="N26" s="26" t="n">
        <f aca="false">N23+N25</f>
        <v>-1.35672269322458</v>
      </c>
    </row>
    <row r="28" customFormat="false" ht="15" hidden="false" customHeight="false" outlineLevel="0" collapsed="false">
      <c r="A28" s="8" t="s">
        <v>98</v>
      </c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</row>
    <row r="29" customFormat="false" ht="15" hidden="false" customHeight="false" outlineLevel="0" collapsed="false">
      <c r="A29" s="10" t="s">
        <v>86</v>
      </c>
      <c r="B29" s="24" t="n">
        <f aca="false">B14</f>
        <v>253.389830508475</v>
      </c>
      <c r="C29" s="24" t="n">
        <f aca="false">C14</f>
        <v>295.762711864407</v>
      </c>
      <c r="D29" s="24" t="n">
        <f aca="false">D14</f>
        <v>338.135593220339</v>
      </c>
      <c r="E29" s="24" t="n">
        <f aca="false">E14</f>
        <v>168.64406779661</v>
      </c>
      <c r="F29" s="24" t="n">
        <f aca="false">F14</f>
        <v>211.016949152542</v>
      </c>
      <c r="G29" s="24" t="n">
        <f aca="false">G14</f>
        <v>278.813559322034</v>
      </c>
      <c r="H29" s="24" t="n">
        <f aca="false">H14</f>
        <v>83.8983050847458</v>
      </c>
      <c r="I29" s="24" t="n">
        <f aca="false">I14</f>
        <v>83.8983050847458</v>
      </c>
      <c r="J29" s="24" t="n">
        <f aca="false">J14</f>
        <v>151.694915254237</v>
      </c>
      <c r="K29" s="24" t="n">
        <f aca="false">K14</f>
        <v>211.016949152542</v>
      </c>
      <c r="L29" s="24" t="n">
        <f aca="false">L14</f>
        <v>168.64406779661</v>
      </c>
      <c r="M29" s="24" t="n">
        <f aca="false">M14</f>
        <v>83.8983050847458</v>
      </c>
      <c r="N29" s="24" t="n">
        <f aca="false">N14</f>
        <v>41.5254237288136</v>
      </c>
    </row>
    <row r="30" customFormat="false" ht="15" hidden="false" customHeight="false" outlineLevel="0" collapsed="false">
      <c r="A30" s="10" t="s">
        <v>2</v>
      </c>
      <c r="B30" s="24" t="n">
        <f aca="false">B15</f>
        <v>-22.4199114837147</v>
      </c>
      <c r="C30" s="24" t="n">
        <f aca="false">C15</f>
        <v>-24.9364321604581</v>
      </c>
      <c r="D30" s="24" t="n">
        <f aca="false">D15</f>
        <v>-29.9694735139451</v>
      </c>
      <c r="E30" s="24" t="n">
        <f aca="false">E15</f>
        <v>-22.4199114837147</v>
      </c>
      <c r="F30" s="24" t="n">
        <f aca="false">F15</f>
        <v>-24.9364321604581</v>
      </c>
      <c r="G30" s="24" t="n">
        <f aca="false">G15</f>
        <v>-29.9694735139451</v>
      </c>
      <c r="H30" s="24" t="n">
        <f aca="false">H15</f>
        <v>-16.2429970953443</v>
      </c>
      <c r="I30" s="24" t="n">
        <f aca="false">I15</f>
        <v>-32.4859941906886</v>
      </c>
      <c r="J30" s="24" t="n">
        <f aca="false">J15</f>
        <v>-64.9719883813772</v>
      </c>
      <c r="K30" s="24" t="n">
        <f aca="false">K15</f>
        <v>-97.4579825720657</v>
      </c>
      <c r="L30" s="24" t="n">
        <f aca="false">L15</f>
        <v>-2.51652067674348</v>
      </c>
      <c r="M30" s="24" t="n">
        <f aca="false">M15</f>
        <v>-2.51652067674348</v>
      </c>
      <c r="N30" s="24" t="n">
        <f aca="false">N15</f>
        <v>-16.2429970953443</v>
      </c>
    </row>
    <row r="31" customFormat="false" ht="15" hidden="false" customHeight="false" outlineLevel="0" collapsed="false">
      <c r="A31" s="10" t="s">
        <v>87</v>
      </c>
      <c r="B31" s="24" t="n">
        <f aca="false">B16</f>
        <v>-9.52083</v>
      </c>
      <c r="C31" s="24" t="n">
        <f aca="false">C16</f>
        <v>-11.02933</v>
      </c>
      <c r="D31" s="24" t="n">
        <f aca="false">D16</f>
        <v>-12.53783</v>
      </c>
      <c r="E31" s="24" t="n">
        <f aca="false">E16</f>
        <v>-6.50383</v>
      </c>
      <c r="F31" s="24" t="n">
        <f aca="false">F16</f>
        <v>-8.01233</v>
      </c>
      <c r="G31" s="24" t="n">
        <f aca="false">G16</f>
        <v>-10.42593</v>
      </c>
      <c r="H31" s="24" t="n">
        <f aca="false">H16</f>
        <v>-3.48683</v>
      </c>
      <c r="I31" s="24" t="n">
        <f aca="false">I16</f>
        <v>-3.48683</v>
      </c>
      <c r="J31" s="24" t="n">
        <f aca="false">J16</f>
        <v>-5.90043</v>
      </c>
      <c r="K31" s="24" t="n">
        <f aca="false">K16</f>
        <v>-8.01233</v>
      </c>
      <c r="L31" s="24" t="n">
        <f aca="false">L16</f>
        <v>-6.50383</v>
      </c>
      <c r="M31" s="24" t="n">
        <f aca="false">M16</f>
        <v>-3.48683</v>
      </c>
      <c r="N31" s="24" t="n">
        <f aca="false">N16</f>
        <v>-1.97833</v>
      </c>
    </row>
    <row r="32" customFormat="false" ht="15" hidden="false" customHeight="false" outlineLevel="0" collapsed="false">
      <c r="A32" s="10" t="s">
        <v>99</v>
      </c>
      <c r="B32" s="6" t="n">
        <f aca="false">-Supuestos!$B$17</f>
        <v>-5</v>
      </c>
      <c r="C32" s="6" t="n">
        <f aca="false">-Supuestos!$B$17</f>
        <v>-5</v>
      </c>
      <c r="D32" s="6" t="n">
        <f aca="false">-Supuestos!$B$17</f>
        <v>-5</v>
      </c>
      <c r="E32" s="6" t="n">
        <f aca="false">-Supuestos!$B$17</f>
        <v>-5</v>
      </c>
      <c r="F32" s="6" t="n">
        <f aca="false">-Supuestos!$B$17</f>
        <v>-5</v>
      </c>
      <c r="G32" s="6" t="n">
        <f aca="false">-Supuestos!$B$17</f>
        <v>-5</v>
      </c>
      <c r="H32" s="6" t="n">
        <f aca="false">-Supuestos!$B$17</f>
        <v>-5</v>
      </c>
      <c r="I32" s="6" t="n">
        <f aca="false">-Supuestos!$B$17</f>
        <v>-5</v>
      </c>
      <c r="J32" s="6" t="n">
        <f aca="false">-Supuestos!$B$17</f>
        <v>-5</v>
      </c>
      <c r="K32" s="6" t="n">
        <f aca="false">-Supuestos!$B$17</f>
        <v>-5</v>
      </c>
      <c r="L32" s="6" t="n">
        <f aca="false">-Supuestos!$B$17</f>
        <v>-5</v>
      </c>
      <c r="M32" s="6" t="n">
        <f aca="false">-Supuestos!$B$17</f>
        <v>-5</v>
      </c>
      <c r="N32" s="6" t="n">
        <f aca="false">-Supuestos!$B$17</f>
        <v>-5</v>
      </c>
    </row>
    <row r="33" customFormat="false" ht="15" hidden="false" customHeight="false" outlineLevel="0" collapsed="false">
      <c r="A33" s="10" t="s">
        <v>100</v>
      </c>
      <c r="B33" s="24" t="n">
        <f aca="false">-(1-Supuestos!$B$20)*Supuestos!$B$19</f>
        <v>-0</v>
      </c>
      <c r="C33" s="24" t="n">
        <f aca="false">-(1-Supuestos!$B$20)*Supuestos!$B$19</f>
        <v>-0</v>
      </c>
      <c r="D33" s="24" t="n">
        <f aca="false">-(1-Supuestos!$B$20)*Supuestos!$B$19</f>
        <v>-0</v>
      </c>
      <c r="E33" s="24" t="n">
        <f aca="false">-(1-Supuestos!$B$20)*Supuestos!$B$19</f>
        <v>-0</v>
      </c>
      <c r="F33" s="24" t="n">
        <f aca="false">-(1-Supuestos!$B$20)*Supuestos!$B$19</f>
        <v>-0</v>
      </c>
      <c r="G33" s="24" t="n">
        <f aca="false">-(1-Supuestos!$B$20)*Supuestos!$B$19</f>
        <v>-0</v>
      </c>
      <c r="H33" s="24" t="n">
        <f aca="false">-(1-Supuestos!$B$20)*Supuestos!$B$19</f>
        <v>-0</v>
      </c>
      <c r="I33" s="24" t="n">
        <f aca="false">-(1-Supuestos!$B$20)*Supuestos!$B$19</f>
        <v>-0</v>
      </c>
      <c r="J33" s="24" t="n">
        <f aca="false">-(1-Supuestos!$B$20)*Supuestos!$B$19</f>
        <v>-0</v>
      </c>
      <c r="K33" s="24" t="n">
        <f aca="false">-(1-Supuestos!$B$20)*Supuestos!$B$19</f>
        <v>-0</v>
      </c>
      <c r="L33" s="24" t="n">
        <f aca="false">-(1-Supuestos!$B$20)*Supuestos!$B$19</f>
        <v>-0</v>
      </c>
      <c r="M33" s="24" t="n">
        <f aca="false">-(1-Supuestos!$B$20)*Supuestos!$B$19</f>
        <v>-0</v>
      </c>
      <c r="N33" s="24" t="n">
        <f aca="false">-(1-Supuestos!$B$20)*Supuestos!$B$19</f>
        <v>-0</v>
      </c>
    </row>
    <row r="34" customFormat="false" ht="15" hidden="false" customHeight="false" outlineLevel="0" collapsed="false">
      <c r="A34" s="25" t="s">
        <v>90</v>
      </c>
      <c r="B34" s="26" t="n">
        <f aca="false">SUM(B29:B33)</f>
        <v>216.44908902476</v>
      </c>
      <c r="C34" s="26" t="n">
        <f aca="false">SUM(C29:C33)</f>
        <v>254.796949703949</v>
      </c>
      <c r="D34" s="26" t="n">
        <f aca="false">SUM(D29:D33)</f>
        <v>290.628289706394</v>
      </c>
      <c r="E34" s="26" t="n">
        <f aca="false">SUM(E29:E33)</f>
        <v>134.720326312896</v>
      </c>
      <c r="F34" s="26" t="n">
        <f aca="false">SUM(F29:F33)</f>
        <v>173.068186992084</v>
      </c>
      <c r="G34" s="26" t="n">
        <f aca="false">SUM(G29:G33)</f>
        <v>233.418155808089</v>
      </c>
      <c r="H34" s="26" t="n">
        <f aca="false">SUM(H29:H33)</f>
        <v>59.1684779894015</v>
      </c>
      <c r="I34" s="26" t="n">
        <f aca="false">SUM(I29:I33)</f>
        <v>42.9254808940572</v>
      </c>
      <c r="J34" s="26" t="n">
        <f aca="false">SUM(J29:J33)</f>
        <v>75.8224968728601</v>
      </c>
      <c r="K34" s="26" t="n">
        <f aca="false">SUM(K29:K33)</f>
        <v>100.546636580477</v>
      </c>
      <c r="L34" s="26" t="n">
        <f aca="false">SUM(L29:L33)</f>
        <v>154.623717119867</v>
      </c>
      <c r="M34" s="26" t="n">
        <f aca="false">SUM(M29:M33)</f>
        <v>72.8949544080023</v>
      </c>
      <c r="N34" s="26" t="n">
        <f aca="false">SUM(N29:N33)</f>
        <v>18.3040966334693</v>
      </c>
    </row>
    <row r="35" customFormat="false" ht="15" hidden="false" customHeight="false" outlineLevel="0" collapsed="false">
      <c r="A35" s="10" t="s">
        <v>91</v>
      </c>
      <c r="B35" s="24" t="n">
        <f aca="false">-(1-Supuestos!$B$8)*(B29+B30+B31)</f>
        <v>-0</v>
      </c>
      <c r="C35" s="24" t="n">
        <f aca="false">-(1-Supuestos!$B$8)*(C29+C30+C31)</f>
        <v>-0</v>
      </c>
      <c r="D35" s="24" t="n">
        <f aca="false">-(1-Supuestos!$B$8)*(D29+D30+D31)</f>
        <v>-0</v>
      </c>
      <c r="E35" s="24" t="n">
        <f aca="false">-(1-Supuestos!$B$8)*(E29+E30+E31)</f>
        <v>-0</v>
      </c>
      <c r="F35" s="24" t="n">
        <f aca="false">-(1-Supuestos!$B$8)*(F29+F30+F31)</f>
        <v>-0</v>
      </c>
      <c r="G35" s="24" t="n">
        <f aca="false">-(1-Supuestos!$B$8)*(G29+G30+G31)</f>
        <v>-0</v>
      </c>
      <c r="H35" s="24" t="n">
        <f aca="false">-(1-Supuestos!$B$8)*(H29+H30+H31)</f>
        <v>-0</v>
      </c>
      <c r="I35" s="24" t="n">
        <f aca="false">-(1-Supuestos!$B$8)*(I29+I30+I31)</f>
        <v>-0</v>
      </c>
      <c r="J35" s="24" t="n">
        <f aca="false">-(1-Supuestos!$B$8)*(J29+J30+J31)</f>
        <v>-0</v>
      </c>
      <c r="K35" s="24" t="n">
        <f aca="false">-(1-Supuestos!$B$8)*(K29+K30+K31)</f>
        <v>-0</v>
      </c>
      <c r="L35" s="24" t="n">
        <f aca="false">-(1-Supuestos!$B$8)*(L29+L30+L31)</f>
        <v>-0</v>
      </c>
      <c r="M35" s="24" t="n">
        <f aca="false">-(1-Supuestos!$B$8)*(M29+M30+M31)</f>
        <v>-0</v>
      </c>
      <c r="N35" s="24" t="n">
        <f aca="false">-(1-Supuestos!$B$8)*(N29+N30+N31)</f>
        <v>-0</v>
      </c>
    </row>
    <row r="36" customFormat="false" ht="15" hidden="false" customHeight="false" outlineLevel="0" collapsed="false">
      <c r="A36" s="25" t="s">
        <v>92</v>
      </c>
      <c r="B36" s="26" t="n">
        <f aca="false">B34+B35</f>
        <v>216.44908902476</v>
      </c>
      <c r="C36" s="26" t="n">
        <f aca="false">C34+C35</f>
        <v>254.796949703949</v>
      </c>
      <c r="D36" s="26" t="n">
        <f aca="false">D34+D35</f>
        <v>290.628289706394</v>
      </c>
      <c r="E36" s="26" t="n">
        <f aca="false">E34+E35</f>
        <v>134.720326312896</v>
      </c>
      <c r="F36" s="26" t="n">
        <f aca="false">F34+F35</f>
        <v>173.068186992084</v>
      </c>
      <c r="G36" s="26" t="n">
        <f aca="false">G34+G35</f>
        <v>233.418155808089</v>
      </c>
      <c r="H36" s="26" t="n">
        <f aca="false">H34+H35</f>
        <v>59.1684779894015</v>
      </c>
      <c r="I36" s="26" t="n">
        <f aca="false">I34+I35</f>
        <v>42.9254808940572</v>
      </c>
      <c r="J36" s="26" t="n">
        <f aca="false">J34+J35</f>
        <v>75.8224968728601</v>
      </c>
      <c r="K36" s="26" t="n">
        <f aca="false">K34+K35</f>
        <v>100.546636580477</v>
      </c>
      <c r="L36" s="26" t="n">
        <f aca="false">L34+L35</f>
        <v>154.623717119867</v>
      </c>
      <c r="M36" s="26" t="n">
        <f aca="false">M34+M35</f>
        <v>72.8949544080023</v>
      </c>
      <c r="N36" s="26" t="n">
        <f aca="false">N34+N35</f>
        <v>18.3040966334693</v>
      </c>
    </row>
    <row r="37" customFormat="false" ht="15" hidden="false" customHeight="false" outlineLevel="0" collapsed="false">
      <c r="A37" s="10" t="s">
        <v>93</v>
      </c>
      <c r="B37" s="24" t="n">
        <f aca="false">B22</f>
        <v>-31</v>
      </c>
      <c r="C37" s="24" t="n">
        <f aca="false">C22</f>
        <v>-31</v>
      </c>
      <c r="D37" s="24" t="n">
        <f aca="false">D22</f>
        <v>-31</v>
      </c>
      <c r="E37" s="24" t="n">
        <f aca="false">E22</f>
        <v>-31</v>
      </c>
      <c r="F37" s="24" t="n">
        <f aca="false">F22</f>
        <v>-31</v>
      </c>
      <c r="G37" s="24" t="n">
        <f aca="false">G22</f>
        <v>-31</v>
      </c>
      <c r="H37" s="24" t="n">
        <f aca="false">H22</f>
        <v>-31</v>
      </c>
      <c r="I37" s="24" t="n">
        <f aca="false">I22</f>
        <v>-31</v>
      </c>
      <c r="J37" s="24" t="n">
        <f aca="false">J22</f>
        <v>-31</v>
      </c>
      <c r="K37" s="24" t="n">
        <f aca="false">K22</f>
        <v>-31</v>
      </c>
      <c r="L37" s="24" t="n">
        <f aca="false">L22</f>
        <v>-0</v>
      </c>
      <c r="M37" s="24" t="n">
        <f aca="false">M22</f>
        <v>-0</v>
      </c>
      <c r="N37" s="24" t="n">
        <f aca="false">N22</f>
        <v>-0</v>
      </c>
    </row>
    <row r="38" customFormat="false" ht="15" hidden="false" customHeight="false" outlineLevel="0" collapsed="false">
      <c r="A38" s="25" t="s">
        <v>94</v>
      </c>
      <c r="B38" s="27" t="n">
        <f aca="false">B36+B37</f>
        <v>185.44908902476</v>
      </c>
      <c r="C38" s="27" t="n">
        <f aca="false">C36+C37</f>
        <v>223.796949703949</v>
      </c>
      <c r="D38" s="27" t="n">
        <f aca="false">D36+D37</f>
        <v>259.628289706394</v>
      </c>
      <c r="E38" s="27" t="n">
        <f aca="false">E36+E37</f>
        <v>103.720326312896</v>
      </c>
      <c r="F38" s="27" t="n">
        <f aca="false">F36+F37</f>
        <v>142.068186992084</v>
      </c>
      <c r="G38" s="27" t="n">
        <f aca="false">G36+G37</f>
        <v>202.418155808089</v>
      </c>
      <c r="H38" s="27" t="n">
        <f aca="false">H36+H37</f>
        <v>28.1684779894015</v>
      </c>
      <c r="I38" s="27" t="n">
        <f aca="false">I36+I37</f>
        <v>11.9254808940572</v>
      </c>
      <c r="J38" s="27" t="n">
        <f aca="false">J36+J37</f>
        <v>44.8224968728601</v>
      </c>
      <c r="K38" s="27" t="n">
        <f aca="false">K36+K37</f>
        <v>69.5466365804767</v>
      </c>
      <c r="L38" s="27" t="n">
        <f aca="false">L36+L37</f>
        <v>154.623717119867</v>
      </c>
      <c r="M38" s="27" t="n">
        <f aca="false">M36+M37</f>
        <v>72.8949544080023</v>
      </c>
      <c r="N38" s="27" t="n">
        <f aca="false">N36+N37</f>
        <v>18.3040966334693</v>
      </c>
    </row>
    <row r="39" customFormat="false" ht="15" hidden="false" customHeight="false" outlineLevel="0" collapsed="false">
      <c r="A39" s="10" t="s">
        <v>95</v>
      </c>
      <c r="B39" s="19" t="n">
        <f aca="false">B38/B5</f>
        <v>0.620231066972441</v>
      </c>
      <c r="C39" s="19" t="n">
        <f aca="false">C38/C5</f>
        <v>0.641252004882374</v>
      </c>
      <c r="D39" s="19" t="n">
        <f aca="false">D38/D5</f>
        <v>0.650697467935824</v>
      </c>
      <c r="E39" s="19" t="n">
        <f aca="false">E38/E5</f>
        <v>0.521207669914048</v>
      </c>
      <c r="F39" s="19" t="n">
        <f aca="false">F38/F5</f>
        <v>0.570554967839696</v>
      </c>
      <c r="G39" s="19" t="n">
        <f aca="false">G38/G5</f>
        <v>0.615252753216076</v>
      </c>
      <c r="H39" s="19" t="n">
        <f aca="false">H38/H5</f>
        <v>0.284530080701025</v>
      </c>
      <c r="I39" s="19" t="n">
        <f aca="false">I38/I5</f>
        <v>0.120459402970275</v>
      </c>
      <c r="J39" s="19" t="n">
        <f aca="false">J38/J5</f>
        <v>0.250405010462906</v>
      </c>
      <c r="K39" s="19" t="n">
        <f aca="false">K38/K5</f>
        <v>0.279303761367376</v>
      </c>
      <c r="L39" s="19" t="n">
        <f aca="false">L38/L5</f>
        <v>0.777003603617421</v>
      </c>
      <c r="M39" s="19" t="n">
        <f aca="false">M38/M5</f>
        <v>0.736312670787902</v>
      </c>
      <c r="N39" s="19" t="n">
        <f aca="false">N38/N5</f>
        <v>0.373552992519781</v>
      </c>
    </row>
    <row r="41" customFormat="false" ht="15" hidden="false" customHeight="false" outlineLevel="0" collapsed="false">
      <c r="A41" s="2" t="s">
        <v>101</v>
      </c>
    </row>
    <row r="42" customFormat="false" ht="15" hidden="false" customHeight="false" outlineLevel="0" collapsed="false">
      <c r="A42" s="2" t="s">
        <v>102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9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7" min="2" style="0" width="19"/>
  </cols>
  <sheetData>
    <row r="1" customFormat="false" ht="17.35" hidden="false" customHeight="false" outlineLevel="0" collapsed="false">
      <c r="A1" s="1" t="s">
        <v>103</v>
      </c>
    </row>
    <row r="2" customFormat="false" ht="15" hidden="false" customHeight="false" outlineLevel="0" collapsed="false">
      <c r="A2" s="2" t="s">
        <v>104</v>
      </c>
    </row>
    <row r="4" customFormat="false" ht="30" hidden="false" customHeight="true" outlineLevel="0" collapsed="false">
      <c r="A4" s="3" t="s">
        <v>2</v>
      </c>
      <c r="B4" s="3" t="s">
        <v>105</v>
      </c>
      <c r="C4" s="3" t="s">
        <v>106</v>
      </c>
      <c r="D4" s="3" t="s">
        <v>107</v>
      </c>
      <c r="E4" s="3" t="s">
        <v>108</v>
      </c>
      <c r="F4" s="3" t="s">
        <v>109</v>
      </c>
      <c r="G4" s="3" t="s">
        <v>110</v>
      </c>
    </row>
    <row r="5" customFormat="false" ht="15" hidden="false" customHeight="false" outlineLevel="0" collapsed="false">
      <c r="A5" s="10" t="s">
        <v>111</v>
      </c>
      <c r="B5" s="20" t="n">
        <v>804</v>
      </c>
      <c r="C5" s="13" t="n">
        <v>9.5</v>
      </c>
      <c r="D5" s="18" t="n">
        <f aca="false">B5*C5</f>
        <v>7638</v>
      </c>
      <c r="E5" s="12" t="n">
        <v>19.4313735</v>
      </c>
      <c r="F5" s="19" t="n">
        <f aca="false">E5/$E$9</f>
        <v>0.358710974709249</v>
      </c>
      <c r="G5" s="19" t="n">
        <f aca="false">D5/$D$9</f>
        <v>0.241083264945395</v>
      </c>
    </row>
    <row r="6" customFormat="false" ht="15" hidden="false" customHeight="false" outlineLevel="0" collapsed="false">
      <c r="A6" s="10" t="s">
        <v>112</v>
      </c>
      <c r="B6" s="20" t="n">
        <v>804</v>
      </c>
      <c r="C6" s="13" t="n">
        <v>7</v>
      </c>
      <c r="D6" s="18" t="n">
        <f aca="false">B6*C6</f>
        <v>5628</v>
      </c>
      <c r="E6" s="12" t="n">
        <v>20.848256</v>
      </c>
      <c r="F6" s="19" t="n">
        <f aca="false">E6/$E$9</f>
        <v>0.38486719586487</v>
      </c>
      <c r="G6" s="19" t="n">
        <f aca="false">D6/$D$9</f>
        <v>0.17764030048608</v>
      </c>
    </row>
    <row r="7" customFormat="false" ht="15" hidden="false" customHeight="false" outlineLevel="0" collapsed="false">
      <c r="A7" s="10" t="s">
        <v>113</v>
      </c>
      <c r="B7" s="20" t="n">
        <v>840</v>
      </c>
      <c r="C7" s="13" t="n">
        <v>2.1</v>
      </c>
      <c r="D7" s="18" t="n">
        <f aca="false">B7*C7</f>
        <v>1764</v>
      </c>
      <c r="E7" s="12" t="n">
        <v>5.05</v>
      </c>
      <c r="F7" s="19" t="n">
        <f aca="false">E7/$E$9</f>
        <v>0.0932250323057043</v>
      </c>
      <c r="G7" s="19" t="n">
        <f aca="false">D7/$D$9</f>
        <v>0.0556783031374282</v>
      </c>
    </row>
    <row r="8" customFormat="false" ht="15" hidden="false" customHeight="false" outlineLevel="0" collapsed="false">
      <c r="A8" s="10" t="s">
        <v>114</v>
      </c>
      <c r="B8" s="20" t="n">
        <v>100</v>
      </c>
      <c r="C8" s="18" t="n">
        <f aca="false">D8/B8</f>
        <v>166.52</v>
      </c>
      <c r="D8" s="18" t="n">
        <f aca="false">D17</f>
        <v>16652</v>
      </c>
      <c r="E8" s="28" t="n">
        <f aca="false">B20-SUM(E5:E7)</f>
        <v>8.84037050000001</v>
      </c>
      <c r="F8" s="19" t="n">
        <f aca="false">E8/$E$9</f>
        <v>0.163196797120177</v>
      </c>
      <c r="G8" s="19" t="n">
        <f aca="false">D8/$D$9</f>
        <v>0.525598131431097</v>
      </c>
    </row>
    <row r="9" customFormat="false" ht="15" hidden="false" customHeight="false" outlineLevel="0" collapsed="false">
      <c r="A9" s="25" t="s">
        <v>115</v>
      </c>
      <c r="D9" s="29" t="n">
        <f aca="false">SUM(D5:D8)</f>
        <v>31682</v>
      </c>
      <c r="E9" s="30" t="n">
        <f aca="false">SUM(E5:E8)</f>
        <v>54.17</v>
      </c>
    </row>
    <row r="10" customFormat="false" ht="15" hidden="false" customHeight="false" outlineLevel="0" collapsed="false">
      <c r="A10" s="2" t="s">
        <v>116</v>
      </c>
    </row>
    <row r="11" customFormat="false" ht="15" hidden="false" customHeight="false" outlineLevel="0" collapsed="false">
      <c r="A11" s="8" t="s">
        <v>117</v>
      </c>
      <c r="B11" s="9"/>
      <c r="C11" s="9"/>
      <c r="D11" s="9"/>
      <c r="E11" s="9"/>
      <c r="F11" s="9"/>
      <c r="G11" s="9"/>
    </row>
    <row r="12" customFormat="false" ht="15" hidden="false" customHeight="false" outlineLevel="0" collapsed="false">
      <c r="A12" s="3" t="s">
        <v>118</v>
      </c>
      <c r="B12" s="3" t="s">
        <v>119</v>
      </c>
      <c r="C12" s="3" t="s">
        <v>120</v>
      </c>
      <c r="D12" s="3" t="s">
        <v>121</v>
      </c>
    </row>
    <row r="13" customFormat="false" ht="15" hidden="false" customHeight="false" outlineLevel="0" collapsed="false">
      <c r="A13" s="10" t="s">
        <v>122</v>
      </c>
      <c r="B13" s="20" t="n">
        <v>100</v>
      </c>
      <c r="C13" s="13" t="n">
        <v>162</v>
      </c>
      <c r="D13" s="18" t="n">
        <f aca="false">B13*C13</f>
        <v>16200</v>
      </c>
    </row>
    <row r="14" customFormat="false" ht="15" hidden="false" customHeight="false" outlineLevel="0" collapsed="false">
      <c r="A14" s="10" t="s">
        <v>123</v>
      </c>
      <c r="B14" s="20" t="n">
        <v>10</v>
      </c>
      <c r="C14" s="13" t="n">
        <v>20</v>
      </c>
      <c r="D14" s="18" t="n">
        <f aca="false">B14*C14</f>
        <v>200</v>
      </c>
    </row>
    <row r="15" customFormat="false" ht="15" hidden="false" customHeight="false" outlineLevel="0" collapsed="false">
      <c r="A15" s="10" t="s">
        <v>124</v>
      </c>
      <c r="B15" s="20" t="n">
        <v>10</v>
      </c>
      <c r="C15" s="13" t="n">
        <v>10</v>
      </c>
      <c r="D15" s="18" t="n">
        <f aca="false">B15*C15</f>
        <v>100</v>
      </c>
    </row>
    <row r="16" customFormat="false" ht="15" hidden="false" customHeight="false" outlineLevel="0" collapsed="false">
      <c r="A16" s="10" t="s">
        <v>125</v>
      </c>
      <c r="B16" s="20" t="n">
        <v>1</v>
      </c>
      <c r="C16" s="13" t="n">
        <v>152</v>
      </c>
      <c r="D16" s="18" t="n">
        <f aca="false">B16*C16</f>
        <v>152</v>
      </c>
    </row>
    <row r="17" customFormat="false" ht="15" hidden="false" customHeight="false" outlineLevel="0" collapsed="false">
      <c r="A17" s="25" t="s">
        <v>126</v>
      </c>
      <c r="D17" s="29" t="n">
        <f aca="false">SUM(D13:D16)</f>
        <v>16652</v>
      </c>
    </row>
    <row r="19" customFormat="false" ht="15" hidden="false" customHeight="false" outlineLevel="0" collapsed="false">
      <c r="A19" s="8" t="s">
        <v>127</v>
      </c>
      <c r="B19" s="9"/>
      <c r="C19" s="9"/>
      <c r="D19" s="9"/>
      <c r="E19" s="9"/>
      <c r="F19" s="9"/>
      <c r="G19" s="9"/>
    </row>
    <row r="20" customFormat="false" ht="15" hidden="false" customHeight="false" outlineLevel="0" collapsed="false">
      <c r="A20" s="10" t="s">
        <v>128</v>
      </c>
      <c r="B20" s="31" t="n">
        <v>54.17</v>
      </c>
    </row>
    <row r="21" customFormat="false" ht="15" hidden="false" customHeight="false" outlineLevel="0" collapsed="false">
      <c r="A21" s="10" t="s">
        <v>129</v>
      </c>
      <c r="B21" s="13" t="n">
        <v>6580</v>
      </c>
    </row>
    <row r="22" customFormat="false" ht="15" hidden="false" customHeight="false" outlineLevel="0" collapsed="false">
      <c r="A22" s="10" t="s">
        <v>130</v>
      </c>
      <c r="B22" s="13" t="n">
        <v>720</v>
      </c>
    </row>
    <row r="23" customFormat="false" ht="15" hidden="false" customHeight="false" outlineLevel="0" collapsed="false">
      <c r="A23" s="10" t="s">
        <v>131</v>
      </c>
      <c r="B23" s="13" t="n">
        <v>6</v>
      </c>
    </row>
    <row r="24" customFormat="false" ht="15" hidden="false" customHeight="false" outlineLevel="0" collapsed="false">
      <c r="A24" s="10" t="s">
        <v>132</v>
      </c>
      <c r="B24" s="13" t="n">
        <v>80</v>
      </c>
    </row>
    <row r="25" customFormat="false" ht="15" hidden="false" customHeight="false" outlineLevel="0" collapsed="false">
      <c r="A25" s="25" t="s">
        <v>133</v>
      </c>
      <c r="B25" s="29" t="n">
        <f aca="false">SUM(B21:B24)</f>
        <v>7386</v>
      </c>
    </row>
    <row r="26" customFormat="false" ht="15" hidden="false" customHeight="false" outlineLevel="0" collapsed="false">
      <c r="A26" s="10" t="s">
        <v>134</v>
      </c>
      <c r="B26" s="13" t="n">
        <v>160</v>
      </c>
    </row>
    <row r="27" customFormat="false" ht="15" hidden="false" customHeight="false" outlineLevel="0" collapsed="false">
      <c r="A27" s="10" t="s">
        <v>135</v>
      </c>
      <c r="B27" s="13" t="n">
        <v>40</v>
      </c>
    </row>
    <row r="28" customFormat="false" ht="15" hidden="false" customHeight="false" outlineLevel="0" collapsed="false">
      <c r="A28" s="10" t="s">
        <v>136</v>
      </c>
      <c r="B28" s="32" t="n">
        <v>606.21</v>
      </c>
      <c r="C28" s="2" t="s">
        <v>137</v>
      </c>
    </row>
    <row r="29" customFormat="false" ht="15" hidden="false" customHeight="false" outlineLevel="0" collapsed="false">
      <c r="A29" s="10" t="s">
        <v>138</v>
      </c>
      <c r="B29" s="33" t="n">
        <v>0.01</v>
      </c>
      <c r="C29" s="2" t="s">
        <v>139</v>
      </c>
    </row>
    <row r="31" customFormat="false" ht="15" hidden="false" customHeight="false" outlineLevel="0" collapsed="false">
      <c r="A31" s="8" t="s">
        <v>140</v>
      </c>
      <c r="B31" s="9"/>
      <c r="C31" s="9"/>
      <c r="D31" s="9"/>
      <c r="E31" s="9"/>
      <c r="F31" s="9"/>
      <c r="G31" s="9"/>
    </row>
    <row r="32" customFormat="false" ht="15" hidden="false" customHeight="false" outlineLevel="0" collapsed="false">
      <c r="A32" s="10" t="s">
        <v>141</v>
      </c>
      <c r="B32" s="13" t="n">
        <v>8189.581</v>
      </c>
    </row>
    <row r="33" customFormat="false" ht="15" hidden="false" customHeight="false" outlineLevel="0" collapsed="false">
      <c r="A33" s="10" t="s">
        <v>142</v>
      </c>
      <c r="B33" s="12" t="n">
        <v>3.444</v>
      </c>
    </row>
    <row r="34" customFormat="false" ht="15" hidden="false" customHeight="false" outlineLevel="0" collapsed="false">
      <c r="A34" s="10" t="s">
        <v>143</v>
      </c>
      <c r="B34" s="13" t="n">
        <v>4370</v>
      </c>
    </row>
    <row r="35" customFormat="false" ht="15" hidden="false" customHeight="false" outlineLevel="0" collapsed="false">
      <c r="A35" s="10" t="s">
        <v>144</v>
      </c>
      <c r="B35" s="13" t="n">
        <v>706</v>
      </c>
    </row>
    <row r="36" customFormat="false" ht="15" hidden="false" customHeight="false" outlineLevel="0" collapsed="false">
      <c r="A36" s="10" t="s">
        <v>145</v>
      </c>
      <c r="B36" s="13" t="n">
        <v>885</v>
      </c>
    </row>
    <row r="37" customFormat="false" ht="15" hidden="false" customHeight="false" outlineLevel="0" collapsed="false">
      <c r="A37" s="10" t="s">
        <v>146</v>
      </c>
      <c r="B37" s="17" t="n">
        <f aca="false">(B34+B35)/(B32*B33)</f>
        <v>0.179968620594731</v>
      </c>
    </row>
    <row r="38" customFormat="false" ht="15" hidden="false" customHeight="false" outlineLevel="0" collapsed="false">
      <c r="A38" s="10" t="s">
        <v>147</v>
      </c>
      <c r="B38" s="17" t="n">
        <f aca="false">B36/(B32*B33)</f>
        <v>0.0313775077278047</v>
      </c>
    </row>
    <row r="39" customFormat="false" ht="15" hidden="false" customHeight="false" outlineLevel="0" collapsed="false">
      <c r="A39" s="10" t="s">
        <v>148</v>
      </c>
      <c r="B39" s="33" t="n">
        <v>0</v>
      </c>
      <c r="C39" s="2" t="s">
        <v>149</v>
      </c>
    </row>
    <row r="41" customFormat="false" ht="15" hidden="false" customHeight="false" outlineLevel="0" collapsed="false">
      <c r="A41" s="8" t="s">
        <v>150</v>
      </c>
      <c r="B41" s="9"/>
      <c r="C41" s="9"/>
      <c r="D41" s="9"/>
      <c r="E41" s="9"/>
      <c r="F41" s="9"/>
      <c r="G41" s="9"/>
    </row>
    <row r="42" customFormat="false" ht="15" hidden="false" customHeight="false" outlineLevel="0" collapsed="false">
      <c r="A42" s="10" t="s">
        <v>151</v>
      </c>
      <c r="B42" s="32" t="n">
        <v>1500</v>
      </c>
      <c r="C42" s="2" t="s">
        <v>152</v>
      </c>
    </row>
    <row r="43" customFormat="false" ht="15" hidden="false" customHeight="false" outlineLevel="0" collapsed="false">
      <c r="A43" s="10" t="s">
        <v>153</v>
      </c>
      <c r="B43" s="32" t="n">
        <v>100</v>
      </c>
      <c r="C43" s="2" t="s">
        <v>154</v>
      </c>
    </row>
    <row r="44" customFormat="false" ht="15" hidden="false" customHeight="false" outlineLevel="0" collapsed="false">
      <c r="A44" s="10" t="s">
        <v>155</v>
      </c>
      <c r="B44" s="32" t="n">
        <v>100</v>
      </c>
      <c r="C44" s="2" t="s">
        <v>154</v>
      </c>
    </row>
    <row r="45" customFormat="false" ht="15" hidden="false" customHeight="false" outlineLevel="0" collapsed="false">
      <c r="A45" s="10" t="s">
        <v>156</v>
      </c>
      <c r="B45" s="32" t="n">
        <v>2000</v>
      </c>
      <c r="C45" s="2" t="s">
        <v>157</v>
      </c>
    </row>
    <row r="46" customFormat="false" ht="15" hidden="false" customHeight="false" outlineLevel="0" collapsed="false">
      <c r="A46" s="10" t="s">
        <v>158</v>
      </c>
      <c r="B46" s="14" t="n">
        <f aca="false">SUM(B42:B45)*Supuestos!B4</f>
        <v>666</v>
      </c>
    </row>
    <row r="48" customFormat="false" ht="15" hidden="false" customHeight="false" outlineLevel="0" collapsed="false">
      <c r="A48" s="8" t="s">
        <v>159</v>
      </c>
      <c r="B48" s="9"/>
      <c r="C48" s="9"/>
      <c r="D48" s="9"/>
      <c r="E48" s="9"/>
      <c r="F48" s="9"/>
      <c r="G48" s="9"/>
    </row>
    <row r="49" customFormat="false" ht="15" hidden="false" customHeight="false" outlineLevel="0" collapsed="false">
      <c r="A49" s="10" t="s">
        <v>17</v>
      </c>
      <c r="B49" s="34" t="n">
        <f aca="false">Supuestos!B5</f>
        <v>3.5</v>
      </c>
    </row>
    <row r="50" customFormat="false" ht="15" hidden="false" customHeight="false" outlineLevel="0" collapsed="false">
      <c r="A50" s="10" t="s">
        <v>107</v>
      </c>
      <c r="B50" s="18" t="n">
        <f aca="false">D9</f>
        <v>31682</v>
      </c>
    </row>
    <row r="51" customFormat="false" ht="15" hidden="false" customHeight="false" outlineLevel="0" collapsed="false">
      <c r="A51" s="10" t="s">
        <v>160</v>
      </c>
      <c r="B51" s="18" t="n">
        <f aca="false">D9*B29</f>
        <v>316.82</v>
      </c>
    </row>
    <row r="52" customFormat="false" ht="15" hidden="false" customHeight="false" outlineLevel="0" collapsed="false">
      <c r="A52" s="10" t="s">
        <v>161</v>
      </c>
      <c r="B52" s="18" t="n">
        <f aca="false">B50+B25+B51</f>
        <v>39384.82</v>
      </c>
    </row>
    <row r="53" customFormat="false" ht="15" hidden="false" customHeight="false" outlineLevel="0" collapsed="false">
      <c r="A53" s="10" t="s">
        <v>162</v>
      </c>
      <c r="B53" s="24" t="n">
        <f aca="false">B52*B49</f>
        <v>137846.87</v>
      </c>
    </row>
    <row r="54" customFormat="false" ht="15" hidden="false" customHeight="false" outlineLevel="0" collapsed="false">
      <c r="A54" s="10" t="s">
        <v>163</v>
      </c>
      <c r="B54" s="24" t="n">
        <f aca="false">B53*B39</f>
        <v>0</v>
      </c>
    </row>
    <row r="55" customFormat="false" ht="15" hidden="false" customHeight="false" outlineLevel="0" collapsed="false">
      <c r="A55" s="10" t="s">
        <v>164</v>
      </c>
      <c r="B55" s="24" t="n">
        <f aca="false">(B53+B54)*B37</f>
        <v>24808.1110472012</v>
      </c>
    </row>
    <row r="56" customFormat="false" ht="15" hidden="false" customHeight="false" outlineLevel="0" collapsed="false">
      <c r="A56" s="10" t="s">
        <v>165</v>
      </c>
      <c r="B56" s="24" t="n">
        <f aca="false">B53*B38</f>
        <v>4325.29122867869</v>
      </c>
    </row>
    <row r="57" customFormat="false" ht="15" hidden="false" customHeight="false" outlineLevel="0" collapsed="false">
      <c r="A57" s="25" t="s">
        <v>166</v>
      </c>
      <c r="B57" s="26" t="n">
        <f aca="false">SUM(B54:B56)</f>
        <v>29133.4022758799</v>
      </c>
    </row>
    <row r="58" customFormat="false" ht="15" hidden="false" customHeight="false" outlineLevel="0" collapsed="false">
      <c r="A58" s="10" t="s">
        <v>167</v>
      </c>
      <c r="B58" s="24" t="n">
        <f aca="false">B50*B49</f>
        <v>110887</v>
      </c>
    </row>
    <row r="59" customFormat="false" ht="15" hidden="false" customHeight="false" outlineLevel="0" collapsed="false">
      <c r="A59" s="10" t="s">
        <v>168</v>
      </c>
      <c r="B59" s="24" t="n">
        <f aca="false">B25*B49</f>
        <v>25851</v>
      </c>
    </row>
    <row r="60" customFormat="false" ht="15" hidden="false" customHeight="false" outlineLevel="0" collapsed="false">
      <c r="A60" s="10" t="s">
        <v>169</v>
      </c>
      <c r="B60" s="24" t="n">
        <f aca="false">(B26+B27)*(1+Supuestos!B4)*B49</f>
        <v>826</v>
      </c>
    </row>
    <row r="61" customFormat="false" ht="15" hidden="false" customHeight="false" outlineLevel="0" collapsed="false">
      <c r="A61" s="10" t="s">
        <v>170</v>
      </c>
      <c r="B61" s="24" t="n">
        <f aca="false">B28*B49</f>
        <v>2121.735</v>
      </c>
    </row>
    <row r="62" customFormat="false" ht="15" hidden="false" customHeight="false" outlineLevel="0" collapsed="false">
      <c r="A62" s="10" t="s">
        <v>171</v>
      </c>
      <c r="B62" s="24" t="n">
        <f aca="false">SUM(B42:B45)+B46</f>
        <v>4366</v>
      </c>
    </row>
    <row r="63" customFormat="false" ht="15" hidden="false" customHeight="false" outlineLevel="0" collapsed="false">
      <c r="A63" s="25" t="s">
        <v>172</v>
      </c>
      <c r="B63" s="26" t="n">
        <f aca="false">B58+B59+B60+B61+B57+B62</f>
        <v>173185.13727588</v>
      </c>
    </row>
    <row r="64" customFormat="false" ht="15" hidden="false" customHeight="false" outlineLevel="0" collapsed="false">
      <c r="A64" s="10" t="s">
        <v>173</v>
      </c>
      <c r="B64" s="6" t="n">
        <f aca="false">Costo_Lima!B19*(B55+B56+B46+(B60-B60/(1+Supuestos!B4))+(B61-B61/(1+Supuestos!B4)))</f>
        <v>30249.0567674053</v>
      </c>
    </row>
    <row r="65" customFormat="false" ht="15" hidden="false" customHeight="false" outlineLevel="0" collapsed="false">
      <c r="A65" s="25" t="s">
        <v>174</v>
      </c>
      <c r="B65" s="27" t="n">
        <f aca="false">B63-B64</f>
        <v>142936.080508475</v>
      </c>
    </row>
    <row r="66" customFormat="false" ht="15" hidden="false" customHeight="false" outlineLevel="0" collapsed="false">
      <c r="A66" s="10" t="s">
        <v>175</v>
      </c>
      <c r="B66" s="18" t="n">
        <f aca="false">B65/B49</f>
        <v>40838.8801452785</v>
      </c>
    </row>
    <row r="67" customFormat="false" ht="15" hidden="false" customHeight="false" outlineLevel="0" collapsed="false">
      <c r="A67" s="25" t="s">
        <v>176</v>
      </c>
      <c r="B67" s="27" t="n">
        <f aca="false">B59+B60+B61+B57+B62</f>
        <v>62298.1372758799</v>
      </c>
      <c r="C67" s="2" t="s">
        <v>177</v>
      </c>
    </row>
    <row r="69" customFormat="false" ht="15" hidden="false" customHeight="false" outlineLevel="0" collapsed="false">
      <c r="A69" s="8" t="s">
        <v>178</v>
      </c>
      <c r="B69" s="9"/>
      <c r="C69" s="9"/>
      <c r="D69" s="9"/>
      <c r="E69" s="9"/>
      <c r="F69" s="9"/>
      <c r="G69" s="9"/>
    </row>
    <row r="70" customFormat="false" ht="45" hidden="false" customHeight="true" outlineLevel="0" collapsed="false">
      <c r="A70" s="3" t="s">
        <v>2</v>
      </c>
      <c r="B70" s="3" t="s">
        <v>105</v>
      </c>
      <c r="C70" s="3" t="s">
        <v>179</v>
      </c>
      <c r="D70" s="3" t="s">
        <v>180</v>
      </c>
      <c r="E70" s="3" t="s">
        <v>181</v>
      </c>
      <c r="F70" s="3" t="s">
        <v>182</v>
      </c>
    </row>
    <row r="71" customFormat="false" ht="15" hidden="false" customHeight="false" outlineLevel="0" collapsed="false">
      <c r="A71" s="10" t="str">
        <f aca="false">A5</f>
        <v>Bidon purificador 22 L</v>
      </c>
      <c r="B71" s="35" t="n">
        <f aca="false">B5</f>
        <v>804</v>
      </c>
      <c r="C71" s="24" t="n">
        <f aca="false">D5*$B$49+($B$59+$B$60/(1+Supuestos!$B$4)+$B$61/(1+Supuestos!$B$4)+SUM($B$42:$B$45))*F5+$B$54*G5</f>
        <v>38229.3569077301</v>
      </c>
      <c r="D71" s="36" t="n">
        <f aca="false">C71/B71</f>
        <v>47.5489513777738</v>
      </c>
      <c r="E71" s="18" t="n">
        <f aca="false">(C71+(($B$55+$B$56)*G5)+($B$46+($B$60-$B$60/(1+Supuestos!$B$4))+($B$61-$B$61/(1+Supuestos!$B$4)))*F5)/B71</f>
        <v>56.7825001958466</v>
      </c>
      <c r="F71" s="29" t="n">
        <f aca="false">IF(Costo_Lima!$B$19=1,D71,E71)</f>
        <v>47.5489513777738</v>
      </c>
    </row>
    <row r="72" customFormat="false" ht="15" hidden="false" customHeight="false" outlineLevel="0" collapsed="false">
      <c r="A72" s="10" t="str">
        <f aca="false">A6</f>
        <v>Bidon purificador 16 L</v>
      </c>
      <c r="B72" s="35" t="n">
        <f aca="false">B6</f>
        <v>804</v>
      </c>
      <c r="C72" s="24" t="n">
        <f aca="false">D6*$B$49+($B$59+$B$60/(1+Supuestos!$B$4)+$B$61/(1+Supuestos!$B$4)+SUM($B$42:$B$45))*F6+$B$54*G6</f>
        <v>32032.6397453441</v>
      </c>
      <c r="D72" s="36" t="n">
        <f aca="false">C72/B72</f>
        <v>39.8415917230648</v>
      </c>
      <c r="E72" s="18" t="n">
        <f aca="false">(C72+(($B$55+$B$56)*G6)+($B$46+($B$60-$B$60/(1+Supuestos!$B$4))+($B$61-$B$61/(1+Supuestos!$B$4)))*F6)/B72</f>
        <v>46.8125434023889</v>
      </c>
      <c r="F72" s="29" t="n">
        <f aca="false">IF(Costo_Lima!$B$19=1,D72,E72)</f>
        <v>39.8415917230648</v>
      </c>
    </row>
    <row r="73" customFormat="false" ht="15" hidden="false" customHeight="false" outlineLevel="0" collapsed="false">
      <c r="A73" s="10" t="str">
        <f aca="false">A7</f>
        <v>Kit de filtros 3 en 1</v>
      </c>
      <c r="B73" s="35" t="n">
        <f aca="false">B7</f>
        <v>840</v>
      </c>
      <c r="C73" s="24" t="n">
        <f aca="false">D7*$B$49+($B$59+$B$60/(1+Supuestos!$B$4)+$B$61/(1+Supuestos!$B$4)+SUM($B$42:$B$45))*F7+$B$54*G7</f>
        <v>9161.77656577066</v>
      </c>
      <c r="D73" s="36" t="n">
        <f aca="false">C73/B73</f>
        <v>10.9068768640127</v>
      </c>
      <c r="E73" s="18" t="n">
        <f aca="false">(C73+(($B$55+$B$56)*G7)+($B$46+($B$60-$B$60/(1+Supuestos!$B$4))+($B$61-$B$61/(1+Supuestos!$B$4)))*F7)/B73</f>
        <v>12.9617641608645</v>
      </c>
      <c r="F73" s="29" t="n">
        <f aca="false">IF(Costo_Lima!$B$19=1,D73,E73)</f>
        <v>10.9068768640127</v>
      </c>
    </row>
    <row r="74" customFormat="false" ht="15" hidden="false" customHeight="false" outlineLevel="0" collapsed="false">
      <c r="A74" s="10" t="str">
        <f aca="false">A8</f>
        <v>elvo· Cero R260 (100 maquinas + 20 filtros + entrega a Ningbo)</v>
      </c>
      <c r="B74" s="35" t="n">
        <f aca="false">B8</f>
        <v>100</v>
      </c>
      <c r="C74" s="24" t="n">
        <f aca="false">D8*$B$49+($B$59+$B$60/(1+Supuestos!$B$4)+$B$61/(1+Supuestos!$B$4)+SUM($B$42:$B$45))*F8+$B$54*G8</f>
        <v>63512.3072896298</v>
      </c>
      <c r="D74" s="36" t="n">
        <f aca="false">C74/B74</f>
        <v>635.123072896298</v>
      </c>
      <c r="E74" s="18" t="n">
        <f aca="false">(C74+(($B$55+$B$56)*G8)+($B$46+($B$60-$B$60/(1+Supuestos!$B$4))+($B$61-$B$61/(1+Supuestos!$B$4)))*F8)/B74</f>
        <v>790.068403277724</v>
      </c>
      <c r="F74" s="29" t="n">
        <f aca="false">IF(Costo_Lima!$B$19=1,D74,E74)</f>
        <v>635.123072896298</v>
      </c>
    </row>
    <row r="75" customFormat="false" ht="15" hidden="false" customHeight="false" outlineLevel="0" collapsed="false">
      <c r="A75" s="25" t="s">
        <v>115</v>
      </c>
      <c r="C75" s="26" t="n">
        <f aca="false">SUM(C71:C74)</f>
        <v>142936.080508475</v>
      </c>
      <c r="D75" s="18" t="n">
        <f aca="false">C75-B65</f>
        <v>0</v>
      </c>
      <c r="E75" s="2" t="s">
        <v>183</v>
      </c>
    </row>
    <row r="76" customFormat="false" ht="15" hidden="false" customHeight="false" outlineLevel="0" collapsed="false">
      <c r="A76" s="2" t="s">
        <v>184</v>
      </c>
    </row>
    <row r="78" customFormat="false" ht="15" hidden="false" customHeight="false" outlineLevel="0" collapsed="false">
      <c r="A78" s="8" t="s">
        <v>185</v>
      </c>
      <c r="B78" s="9"/>
      <c r="C78" s="9"/>
      <c r="D78" s="9"/>
      <c r="E78" s="9"/>
      <c r="F78" s="9"/>
      <c r="G78" s="9"/>
    </row>
    <row r="79" customFormat="false" ht="15" hidden="false" customHeight="false" outlineLevel="0" collapsed="false">
      <c r="A79" s="3" t="s">
        <v>118</v>
      </c>
      <c r="B79" s="3" t="s">
        <v>186</v>
      </c>
      <c r="C79" s="3" t="s">
        <v>187</v>
      </c>
      <c r="D79" s="3" t="s">
        <v>188</v>
      </c>
      <c r="E79" s="3" t="s">
        <v>189</v>
      </c>
    </row>
    <row r="80" customFormat="false" ht="15" hidden="false" customHeight="false" outlineLevel="0" collapsed="false">
      <c r="A80" s="10" t="s">
        <v>190</v>
      </c>
      <c r="B80" s="37" t="n">
        <v>219</v>
      </c>
      <c r="C80" s="37" t="n">
        <v>159</v>
      </c>
      <c r="D80" s="37" t="n">
        <v>85</v>
      </c>
      <c r="E80" s="37" t="n">
        <v>2299</v>
      </c>
    </row>
    <row r="81" customFormat="false" ht="15" hidden="false" customHeight="false" outlineLevel="0" collapsed="false">
      <c r="A81" s="10" t="s">
        <v>86</v>
      </c>
      <c r="B81" s="24" t="n">
        <f aca="false">B80/(1+Supuestos!$B$4)</f>
        <v>185.593220338983</v>
      </c>
      <c r="C81" s="24" t="n">
        <f aca="false">C80/(1+Supuestos!$B$4)</f>
        <v>134.745762711864</v>
      </c>
      <c r="D81" s="24" t="n">
        <f aca="false">D80/(1+Supuestos!$B$4)</f>
        <v>72.0338983050848</v>
      </c>
      <c r="E81" s="24" t="n">
        <f aca="false">E80/(1+Supuestos!$B$4)</f>
        <v>1948.30508474576</v>
      </c>
    </row>
    <row r="82" customFormat="false" ht="15" hidden="false" customHeight="false" outlineLevel="0" collapsed="false">
      <c r="A82" s="10" t="s">
        <v>178</v>
      </c>
      <c r="B82" s="24" t="n">
        <f aca="false">-F71</f>
        <v>-47.5489513777738</v>
      </c>
      <c r="C82" s="24" t="n">
        <f aca="false">-F72</f>
        <v>-39.8415917230648</v>
      </c>
      <c r="D82" s="24" t="n">
        <f aca="false">-F73</f>
        <v>-10.9068768640127</v>
      </c>
      <c r="E82" s="24" t="n">
        <f aca="false">-F74</f>
        <v>-635.123072896298</v>
      </c>
    </row>
    <row r="83" customFormat="false" ht="15" hidden="false" customHeight="false" outlineLevel="0" collapsed="false">
      <c r="A83" s="10" t="s">
        <v>87</v>
      </c>
      <c r="B83" s="6" t="n">
        <f aca="false">-(B80*Supuestos!$B$31+Supuestos!$B$32)</f>
        <v>-7.10723</v>
      </c>
      <c r="C83" s="6" t="n">
        <f aca="false">-(C80*Supuestos!$B$31+Supuestos!$B$32)</f>
        <v>-5.29703</v>
      </c>
      <c r="D83" s="6" t="n">
        <f aca="false">-(D80*Supuestos!$B$31+Supuestos!$B$32)</f>
        <v>-3.06445</v>
      </c>
      <c r="E83" s="6" t="n">
        <f aca="false">-(E80*Supuestos!$B$31+Supuestos!$B$32)</f>
        <v>-69.86083</v>
      </c>
    </row>
    <row r="84" customFormat="false" ht="15" hidden="false" customHeight="false" outlineLevel="0" collapsed="false">
      <c r="A84" s="10" t="s">
        <v>88</v>
      </c>
      <c r="B84" s="6" t="n">
        <f aca="false">-Supuestos!$B$16</f>
        <v>-3.5</v>
      </c>
      <c r="C84" s="6" t="n">
        <f aca="false">-Supuestos!$B$16</f>
        <v>-3.5</v>
      </c>
      <c r="D84" s="6" t="n">
        <f aca="false">-Supuestos!$B$16</f>
        <v>-3.5</v>
      </c>
      <c r="E84" s="6" t="n">
        <f aca="false">-Supuestos!$B$16</f>
        <v>-3.5</v>
      </c>
    </row>
    <row r="85" customFormat="false" ht="15" hidden="false" customHeight="false" outlineLevel="0" collapsed="false">
      <c r="A85" s="10" t="s">
        <v>89</v>
      </c>
      <c r="B85" s="6" t="n">
        <f aca="false">-Supuestos!$B$18</f>
        <v>-12.5</v>
      </c>
      <c r="C85" s="6" t="n">
        <f aca="false">-Supuestos!$B$18</f>
        <v>-12.5</v>
      </c>
      <c r="D85" s="6" t="n">
        <f aca="false">-Supuestos!$B$18</f>
        <v>-12.5</v>
      </c>
      <c r="E85" s="6" t="n">
        <f aca="false">-Supuestos!$B$18</f>
        <v>-12.5</v>
      </c>
    </row>
    <row r="86" customFormat="false" ht="15" hidden="false" customHeight="false" outlineLevel="0" collapsed="false">
      <c r="A86" s="10" t="s">
        <v>191</v>
      </c>
      <c r="B86" s="24" t="n">
        <f aca="false">-B80*B94</f>
        <v>-0</v>
      </c>
      <c r="C86" s="24" t="n">
        <f aca="false">-C80*C94</f>
        <v>-0</v>
      </c>
      <c r="D86" s="24" t="n">
        <f aca="false">-D80*D94</f>
        <v>-0</v>
      </c>
      <c r="E86" s="24" t="n">
        <f aca="false">-E80*E94</f>
        <v>-91.96</v>
      </c>
    </row>
    <row r="87" customFormat="false" ht="15" hidden="false" customHeight="false" outlineLevel="0" collapsed="false">
      <c r="A87" s="10" t="s">
        <v>90</v>
      </c>
      <c r="B87" s="26" t="n">
        <f aca="false">SUM(B81:B86)</f>
        <v>114.937038961209</v>
      </c>
      <c r="C87" s="26" t="n">
        <f aca="false">SUM(C81:C86)</f>
        <v>73.6071409887997</v>
      </c>
      <c r="D87" s="26" t="n">
        <f aca="false">SUM(D81:D86)</f>
        <v>42.0625714410721</v>
      </c>
      <c r="E87" s="26" t="n">
        <f aca="false">SUM(E81:E86)</f>
        <v>1135.36118184947</v>
      </c>
    </row>
    <row r="88" customFormat="false" ht="15" hidden="false" customHeight="false" outlineLevel="0" collapsed="false">
      <c r="A88" s="10" t="s">
        <v>91</v>
      </c>
      <c r="B88" s="24" t="n">
        <f aca="false">-(1-Supuestos!$B$7)*(B81+B82+B83+B86)</f>
        <v>-26.1874077922419</v>
      </c>
      <c r="C88" s="24" t="n">
        <f aca="false">-(1-Supuestos!$B$7)*(C81+C82+C83+C86)</f>
        <v>-17.9214281977599</v>
      </c>
      <c r="D88" s="24" t="n">
        <f aca="false">-(1-Supuestos!$B$7)*(D81+D82+D83+D86)</f>
        <v>-11.6125142882144</v>
      </c>
      <c r="E88" s="24" t="n">
        <f aca="false">-(1-Supuestos!$B$7)*(E81+E82+E83+E86)</f>
        <v>-230.272236369893</v>
      </c>
    </row>
    <row r="89" customFormat="false" ht="15" hidden="false" customHeight="false" outlineLevel="0" collapsed="false">
      <c r="A89" s="25" t="s">
        <v>92</v>
      </c>
      <c r="B89" s="26" t="n">
        <f aca="false">B87+B88</f>
        <v>88.7496311689675</v>
      </c>
      <c r="C89" s="26" t="n">
        <f aca="false">C87+C88</f>
        <v>55.6857127910397</v>
      </c>
      <c r="D89" s="26" t="n">
        <f aca="false">D87+D88</f>
        <v>30.4500571528577</v>
      </c>
      <c r="E89" s="26" t="n">
        <f aca="false">E87+E88</f>
        <v>905.088945479572</v>
      </c>
    </row>
    <row r="90" customFormat="false" ht="15" hidden="false" customHeight="false" outlineLevel="0" collapsed="false">
      <c r="A90" s="10" t="s">
        <v>192</v>
      </c>
      <c r="B90" s="6" t="n">
        <f aca="false">-Supuestos!$B$6*B95</f>
        <v>-31</v>
      </c>
      <c r="C90" s="6" t="n">
        <f aca="false">-Supuestos!$B$6*C95</f>
        <v>-31</v>
      </c>
      <c r="D90" s="6" t="n">
        <f aca="false">-Supuestos!$B$6*D95</f>
        <v>-0</v>
      </c>
      <c r="E90" s="6" t="n">
        <f aca="false">-Supuestos!$B$6*E95</f>
        <v>-31</v>
      </c>
    </row>
    <row r="91" customFormat="false" ht="15" hidden="false" customHeight="false" outlineLevel="0" collapsed="false">
      <c r="A91" s="25" t="s">
        <v>94</v>
      </c>
      <c r="B91" s="27" t="n">
        <f aca="false">B89+B90</f>
        <v>57.7496311689675</v>
      </c>
      <c r="C91" s="27" t="n">
        <f aca="false">C89+C90</f>
        <v>24.6857127910397</v>
      </c>
      <c r="D91" s="27" t="n">
        <f aca="false">D89+D90</f>
        <v>30.4500571528577</v>
      </c>
      <c r="E91" s="27" t="n">
        <f aca="false">E89+E90</f>
        <v>874.088945479572</v>
      </c>
    </row>
    <row r="92" customFormat="false" ht="15" hidden="false" customHeight="false" outlineLevel="0" collapsed="false">
      <c r="A92" s="10" t="s">
        <v>95</v>
      </c>
      <c r="B92" s="19" t="n">
        <f aca="false">B91/B80</f>
        <v>0.26369694597702</v>
      </c>
      <c r="C92" s="19" t="n">
        <f aca="false">C91/C80</f>
        <v>0.155256055289558</v>
      </c>
      <c r="D92" s="19" t="n">
        <f aca="false">D91/D80</f>
        <v>0.358235966504208</v>
      </c>
      <c r="E92" s="19" t="n">
        <f aca="false">E91/E80</f>
        <v>0.380203978025042</v>
      </c>
    </row>
    <row r="94" customFormat="false" ht="15" hidden="false" customHeight="false" outlineLevel="0" collapsed="false">
      <c r="A94" s="10" t="s">
        <v>193</v>
      </c>
      <c r="B94" s="38" t="n">
        <v>0</v>
      </c>
      <c r="C94" s="38" t="n">
        <v>0</v>
      </c>
      <c r="D94" s="38" t="n">
        <v>0</v>
      </c>
      <c r="E94" s="38" t="n">
        <v>0.04</v>
      </c>
    </row>
    <row r="95" customFormat="false" ht="15" hidden="false" customHeight="false" outlineLevel="0" collapsed="false">
      <c r="A95" s="10" t="s">
        <v>194</v>
      </c>
      <c r="B95" s="23" t="n">
        <v>1</v>
      </c>
      <c r="C95" s="23" t="n">
        <v>1</v>
      </c>
      <c r="D95" s="23" t="n">
        <v>0</v>
      </c>
      <c r="E95" s="23" t="n">
        <v>1</v>
      </c>
    </row>
    <row r="97" customFormat="false" ht="15" hidden="false" customHeight="false" outlineLevel="0" collapsed="false">
      <c r="A97" s="2" t="s">
        <v>195</v>
      </c>
    </row>
    <row r="98" customFormat="false" ht="15" hidden="false" customHeight="false" outlineLevel="0" collapsed="false">
      <c r="A98" s="2" t="s">
        <v>196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6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2"/>
    <col collapsed="false" customWidth="true" hidden="false" outlineLevel="0" max="7" min="2" style="0" width="17"/>
  </cols>
  <sheetData>
    <row r="1" customFormat="false" ht="17.35" hidden="false" customHeight="false" outlineLevel="0" collapsed="false">
      <c r="A1" s="1" t="s">
        <v>197</v>
      </c>
    </row>
    <row r="2" customFormat="false" ht="15" hidden="false" customHeight="false" outlineLevel="0" collapsed="false">
      <c r="A2" s="2" t="s">
        <v>198</v>
      </c>
    </row>
    <row r="4" customFormat="false" ht="15" hidden="false" customHeight="false" outlineLevel="0" collapsed="false">
      <c r="A4" s="8" t="s">
        <v>199</v>
      </c>
      <c r="B4" s="9"/>
      <c r="C4" s="9"/>
      <c r="D4" s="9"/>
      <c r="E4" s="9"/>
      <c r="F4" s="9"/>
      <c r="G4" s="9"/>
    </row>
    <row r="5" customFormat="false" ht="15" hidden="false" customHeight="false" outlineLevel="0" collapsed="false">
      <c r="A5" s="10" t="s">
        <v>32</v>
      </c>
      <c r="B5" s="14" t="n">
        <f aca="false">Supuestos!B16</f>
        <v>3.5</v>
      </c>
    </row>
    <row r="6" customFormat="false" ht="15" hidden="false" customHeight="false" outlineLevel="0" collapsed="false">
      <c r="A6" s="10" t="s">
        <v>35</v>
      </c>
      <c r="B6" s="14" t="n">
        <f aca="false">Supuestos!B18</f>
        <v>12.5</v>
      </c>
    </row>
    <row r="7" customFormat="false" ht="15" hidden="false" customHeight="false" outlineLevel="0" collapsed="false">
      <c r="A7" s="10" t="s">
        <v>200</v>
      </c>
      <c r="B7" s="14" t="n">
        <f aca="false">Supuestos!B38</f>
        <v>4</v>
      </c>
    </row>
    <row r="8" customFormat="false" ht="15" hidden="false" customHeight="false" outlineLevel="0" collapsed="false">
      <c r="A8" s="10" t="s">
        <v>201</v>
      </c>
      <c r="B8" s="7" t="n">
        <f aca="false">Supuestos!B7</f>
        <v>0.8</v>
      </c>
    </row>
    <row r="10" customFormat="false" ht="15" hidden="false" customHeight="false" outlineLevel="0" collapsed="false">
      <c r="A10" s="8" t="s">
        <v>202</v>
      </c>
      <c r="B10" s="9"/>
      <c r="C10" s="9"/>
      <c r="D10" s="9"/>
      <c r="E10" s="9"/>
      <c r="F10" s="9"/>
      <c r="G10" s="9"/>
    </row>
    <row r="11" customFormat="false" ht="15" hidden="false" customHeight="false" outlineLevel="0" collapsed="false">
      <c r="A11" s="10" t="s">
        <v>203</v>
      </c>
      <c r="B11" s="13" t="n">
        <v>5.5</v>
      </c>
      <c r="C11" s="2" t="s">
        <v>204</v>
      </c>
    </row>
    <row r="12" customFormat="false" ht="15" hidden="false" customHeight="false" outlineLevel="0" collapsed="false">
      <c r="A12" s="10" t="s">
        <v>205</v>
      </c>
      <c r="B12" s="32" t="n">
        <v>8.75</v>
      </c>
      <c r="C12" s="2" t="s">
        <v>206</v>
      </c>
    </row>
    <row r="13" customFormat="false" ht="15" hidden="false" customHeight="false" outlineLevel="0" collapsed="false">
      <c r="A13" s="10" t="s">
        <v>207</v>
      </c>
      <c r="B13" s="13" t="n">
        <v>1.5</v>
      </c>
      <c r="C13" s="2" t="s">
        <v>208</v>
      </c>
    </row>
    <row r="14" customFormat="false" ht="15" hidden="false" customHeight="false" outlineLevel="0" collapsed="false">
      <c r="A14" s="10" t="s">
        <v>209</v>
      </c>
      <c r="B14" s="16" t="n">
        <v>0.045</v>
      </c>
      <c r="C14" s="2" t="s">
        <v>210</v>
      </c>
    </row>
    <row r="15" customFormat="false" ht="15" hidden="false" customHeight="false" outlineLevel="0" collapsed="false">
      <c r="A15" s="10" t="s">
        <v>211</v>
      </c>
      <c r="B15" s="16" t="n">
        <v>0.025</v>
      </c>
      <c r="C15" s="2" t="s">
        <v>212</v>
      </c>
    </row>
    <row r="16" customFormat="false" ht="15" hidden="false" customHeight="false" outlineLevel="0" collapsed="false">
      <c r="A16" s="10" t="s">
        <v>213</v>
      </c>
      <c r="B16" s="38" t="n">
        <v>0.25</v>
      </c>
      <c r="C16" s="2" t="s">
        <v>214</v>
      </c>
    </row>
    <row r="17" customFormat="false" ht="15" hidden="false" customHeight="false" outlineLevel="0" collapsed="false">
      <c r="A17" s="10" t="s">
        <v>215</v>
      </c>
      <c r="B17" s="13" t="n">
        <v>1</v>
      </c>
      <c r="C17" s="2" t="s">
        <v>216</v>
      </c>
    </row>
    <row r="18" customFormat="false" ht="15" hidden="false" customHeight="false" outlineLevel="0" collapsed="false">
      <c r="A18" s="10" t="s">
        <v>217</v>
      </c>
      <c r="B18" s="23" t="n">
        <v>1</v>
      </c>
      <c r="C18" s="2" t="s">
        <v>218</v>
      </c>
    </row>
    <row r="19" customFormat="false" ht="15" hidden="false" customHeight="false" outlineLevel="0" collapsed="false">
      <c r="A19" s="10" t="s">
        <v>219</v>
      </c>
      <c r="B19" s="31" t="n">
        <v>20</v>
      </c>
      <c r="C19" s="2" t="s">
        <v>220</v>
      </c>
    </row>
    <row r="20" customFormat="false" ht="15" hidden="false" customHeight="false" outlineLevel="0" collapsed="false">
      <c r="A20" s="10" t="s">
        <v>221</v>
      </c>
      <c r="B20" s="39" t="n">
        <v>0.5</v>
      </c>
      <c r="C20" s="2" t="s">
        <v>222</v>
      </c>
    </row>
    <row r="21" customFormat="false" ht="15" hidden="false" customHeight="false" outlineLevel="0" collapsed="false">
      <c r="A21" s="10" t="s">
        <v>223</v>
      </c>
      <c r="B21" s="38" t="n">
        <v>0.8</v>
      </c>
      <c r="C21" s="2" t="s">
        <v>224</v>
      </c>
    </row>
    <row r="22" customFormat="false" ht="15" hidden="false" customHeight="false" outlineLevel="0" collapsed="false">
      <c r="A22" s="10" t="s">
        <v>225</v>
      </c>
      <c r="B22" s="13" t="n">
        <v>114</v>
      </c>
      <c r="C22" s="2" t="s">
        <v>226</v>
      </c>
    </row>
    <row r="23" customFormat="false" ht="15" hidden="false" customHeight="false" outlineLevel="0" collapsed="false">
      <c r="A23" s="10" t="s">
        <v>227</v>
      </c>
      <c r="B23" s="15" t="n">
        <v>30</v>
      </c>
      <c r="C23" s="2" t="s">
        <v>228</v>
      </c>
    </row>
    <row r="24" customFormat="false" ht="15" hidden="false" customHeight="false" outlineLevel="0" collapsed="false">
      <c r="A24" s="10" t="s">
        <v>229</v>
      </c>
      <c r="B24" s="37" t="n">
        <v>100</v>
      </c>
      <c r="C24" s="2" t="s">
        <v>230</v>
      </c>
    </row>
    <row r="25" customFormat="false" ht="15" hidden="false" customHeight="false" outlineLevel="0" collapsed="false">
      <c r="A25" s="10" t="s">
        <v>231</v>
      </c>
      <c r="B25" s="20" t="n">
        <v>150</v>
      </c>
      <c r="C25" s="2" t="s">
        <v>232</v>
      </c>
    </row>
    <row r="26" customFormat="false" ht="15" hidden="false" customHeight="false" outlineLevel="0" collapsed="false">
      <c r="A26" s="10" t="s">
        <v>233</v>
      </c>
      <c r="B26" s="34" t="n">
        <f aca="false">Supuestos!B5</f>
        <v>3.5</v>
      </c>
    </row>
    <row r="27" customFormat="false" ht="15" hidden="false" customHeight="false" outlineLevel="0" collapsed="false">
      <c r="A27" s="10" t="s">
        <v>234</v>
      </c>
      <c r="B27" s="40" t="n">
        <f aca="false">B14*(1-B16)+B15*B16</f>
        <v>0.04</v>
      </c>
    </row>
    <row r="28" customFormat="false" ht="15" hidden="false" customHeight="false" outlineLevel="0" collapsed="false">
      <c r="A28" s="10" t="s">
        <v>235</v>
      </c>
      <c r="B28" s="29" t="n">
        <f aca="false">B11*MAX(B25,B24)/B24</f>
        <v>8.25</v>
      </c>
    </row>
    <row r="30" customFormat="false" ht="15" hidden="false" customHeight="false" outlineLevel="0" collapsed="false">
      <c r="A30" s="8" t="s">
        <v>236</v>
      </c>
      <c r="B30" s="9"/>
      <c r="C30" s="9"/>
      <c r="D30" s="9"/>
      <c r="E30" s="9"/>
      <c r="F30" s="9"/>
      <c r="G30" s="9"/>
    </row>
    <row r="31" customFormat="false" ht="30" hidden="false" customHeight="true" outlineLevel="0" collapsed="false">
      <c r="A31" s="22" t="s">
        <v>118</v>
      </c>
      <c r="B31" s="22" t="s">
        <v>66</v>
      </c>
      <c r="C31" s="22" t="s">
        <v>67</v>
      </c>
      <c r="D31" s="22" t="s">
        <v>68</v>
      </c>
      <c r="E31" s="22" t="s">
        <v>186</v>
      </c>
      <c r="F31" s="22" t="s">
        <v>187</v>
      </c>
      <c r="G31" s="22" t="s">
        <v>189</v>
      </c>
    </row>
    <row r="32" customFormat="false" ht="15" hidden="false" customHeight="false" outlineLevel="0" collapsed="false">
      <c r="A32" s="10" t="s">
        <v>237</v>
      </c>
      <c r="B32" s="5" t="n">
        <f aca="false">Desglose!B5</f>
        <v>299</v>
      </c>
      <c r="C32" s="5" t="n">
        <f aca="false">Desglose!C5</f>
        <v>349</v>
      </c>
      <c r="D32" s="5" t="n">
        <f aca="false">Desglose!D5</f>
        <v>399</v>
      </c>
      <c r="E32" s="5" t="n">
        <f aca="false">Contenedor2!B80</f>
        <v>219</v>
      </c>
      <c r="F32" s="5" t="n">
        <f aca="false">Contenedor2!C80</f>
        <v>159</v>
      </c>
      <c r="G32" s="5" t="n">
        <f aca="false">Contenedor2!E80</f>
        <v>2299</v>
      </c>
    </row>
    <row r="33" customFormat="false" ht="15" hidden="false" customHeight="false" outlineLevel="0" collapsed="false">
      <c r="A33" s="10" t="s">
        <v>238</v>
      </c>
      <c r="B33" s="6" t="n">
        <f aca="false">Desglose!B14+Desglose!B15+Desglose!B16</f>
        <v>221.44908902476</v>
      </c>
      <c r="C33" s="6" t="n">
        <f aca="false">Desglose!C14+Desglose!C15+Desglose!C16</f>
        <v>259.796949703949</v>
      </c>
      <c r="D33" s="6" t="n">
        <f aca="false">Desglose!D14+Desglose!D15+Desglose!D16</f>
        <v>295.628289706394</v>
      </c>
      <c r="E33" s="6" t="n">
        <f aca="false">Contenedor2!B81+Contenedor2!B82+Contenedor2!B83+Contenedor2!B86</f>
        <v>130.937038961209</v>
      </c>
      <c r="F33" s="6" t="n">
        <f aca="false">Contenedor2!C81+Contenedor2!C82+Contenedor2!C83+Contenedor2!C86</f>
        <v>89.6071409887996</v>
      </c>
      <c r="G33" s="6" t="n">
        <f aca="false">Contenedor2!E81+Contenedor2!E82+Contenedor2!E83+Contenedor2!E86</f>
        <v>1151.36118184947</v>
      </c>
    </row>
    <row r="34" customFormat="false" ht="15" hidden="false" customHeight="false" outlineLevel="0" collapsed="false">
      <c r="A34" s="10" t="s">
        <v>239</v>
      </c>
      <c r="B34" s="6" t="n">
        <f aca="false">Desglose!B16</f>
        <v>-9.52083</v>
      </c>
      <c r="C34" s="6" t="n">
        <f aca="false">Desglose!C16</f>
        <v>-11.02933</v>
      </c>
      <c r="D34" s="6" t="n">
        <f aca="false">Desglose!D16</f>
        <v>-12.53783</v>
      </c>
      <c r="E34" s="6" t="n">
        <f aca="false">Contenedor2!B83</f>
        <v>-7.10723</v>
      </c>
      <c r="F34" s="6" t="n">
        <f aca="false">Contenedor2!C83</f>
        <v>-5.29703</v>
      </c>
      <c r="G34" s="6" t="n">
        <f aca="false">Contenedor2!E83</f>
        <v>-69.86083</v>
      </c>
    </row>
    <row r="35" customFormat="false" ht="15" hidden="false" customHeight="false" outlineLevel="0" collapsed="false">
      <c r="A35" s="10" t="s">
        <v>240</v>
      </c>
      <c r="B35" s="41" t="n">
        <v>0.0077</v>
      </c>
      <c r="C35" s="41" t="n">
        <v>0.0077</v>
      </c>
      <c r="D35" s="41" t="n">
        <v>0.0077</v>
      </c>
      <c r="E35" s="41" t="n">
        <v>0.0242</v>
      </c>
      <c r="F35" s="41" t="n">
        <v>0.0259</v>
      </c>
      <c r="G35" s="41" t="n">
        <v>0.0875</v>
      </c>
    </row>
    <row r="36" customFormat="false" ht="15" hidden="false" customHeight="false" outlineLevel="0" collapsed="false">
      <c r="A36" s="10" t="s">
        <v>241</v>
      </c>
      <c r="B36" s="31" t="n">
        <v>1.5</v>
      </c>
      <c r="C36" s="31" t="n">
        <v>1.5</v>
      </c>
      <c r="D36" s="31" t="n">
        <v>2</v>
      </c>
      <c r="E36" s="31" t="n">
        <v>4.84</v>
      </c>
      <c r="F36" s="31" t="n">
        <v>5.18</v>
      </c>
      <c r="G36" s="31" t="n">
        <v>17.5</v>
      </c>
    </row>
    <row r="37" customFormat="false" ht="15" hidden="false" customHeight="false" outlineLevel="0" collapsed="false">
      <c r="A37" s="10" t="s">
        <v>242</v>
      </c>
      <c r="B37" s="23" t="n">
        <v>12</v>
      </c>
      <c r="C37" s="23" t="n">
        <v>12</v>
      </c>
      <c r="D37" s="23" t="n">
        <v>12</v>
      </c>
      <c r="E37" s="23" t="n">
        <v>6</v>
      </c>
      <c r="F37" s="23" t="n">
        <v>6</v>
      </c>
      <c r="G37" s="23" t="n">
        <v>1</v>
      </c>
    </row>
    <row r="38" customFormat="false" ht="15" hidden="false" customHeight="false" outlineLevel="0" collapsed="false">
      <c r="A38" s="10" t="s">
        <v>243</v>
      </c>
      <c r="B38" s="24" t="n">
        <f aca="false">$B$5+$B$6+$B$7</f>
        <v>20</v>
      </c>
      <c r="C38" s="24" t="n">
        <f aca="false">$B$5+$B$6+$B$7</f>
        <v>20</v>
      </c>
      <c r="D38" s="24" t="n">
        <f aca="false">$B$5+$B$6+$B$7</f>
        <v>20</v>
      </c>
      <c r="E38" s="24" t="n">
        <f aca="false">$B$5+$B$6+$B$7</f>
        <v>20</v>
      </c>
      <c r="F38" s="24" t="n">
        <f aca="false">$B$5+$B$6+$B$7</f>
        <v>20</v>
      </c>
      <c r="G38" s="24" t="n">
        <f aca="false">$B$5+$B$6+$B$7</f>
        <v>20</v>
      </c>
    </row>
    <row r="39" customFormat="false" ht="15" hidden="false" customHeight="false" outlineLevel="0" collapsed="false">
      <c r="A39" s="25" t="s">
        <v>244</v>
      </c>
      <c r="B39" s="26" t="n">
        <f aca="false">$B$8*B33-B38</f>
        <v>157.159271219808</v>
      </c>
      <c r="C39" s="26" t="n">
        <f aca="false">$B$8*C33-C38</f>
        <v>187.837559763159</v>
      </c>
      <c r="D39" s="26" t="n">
        <f aca="false">$B$8*D33-D38</f>
        <v>216.502631765115</v>
      </c>
      <c r="E39" s="26" t="n">
        <f aca="false">$B$8*E33-E38</f>
        <v>84.7496311689675</v>
      </c>
      <c r="F39" s="26" t="n">
        <f aca="false">$B$8*F33-F38</f>
        <v>51.6857127910397</v>
      </c>
      <c r="G39" s="26" t="n">
        <f aca="false">$B$8*G33-G38</f>
        <v>901.088945479572</v>
      </c>
    </row>
    <row r="40" customFormat="false" ht="15" hidden="false" customHeight="false" outlineLevel="0" collapsed="false">
      <c r="A40" s="10" t="s">
        <v>245</v>
      </c>
      <c r="B40" s="24" t="n">
        <f aca="false">$B$28+$B$12+MAX(0,B36-3)*$B$13</f>
        <v>17</v>
      </c>
      <c r="C40" s="24" t="n">
        <f aca="false">$B$28+$B$12+MAX(0,C36-3)*$B$13</f>
        <v>17</v>
      </c>
      <c r="D40" s="24" t="n">
        <f aca="false">$B$28+$B$12+MAX(0,D36-3)*$B$13</f>
        <v>17</v>
      </c>
      <c r="E40" s="24" t="n">
        <f aca="false">$B$28+$B$12+MAX(0,E36-3)*$B$13</f>
        <v>19.76</v>
      </c>
      <c r="F40" s="24" t="n">
        <f aca="false">$B$28+$B$12+MAX(0,F36-3)*$B$13</f>
        <v>20.27</v>
      </c>
      <c r="G40" s="24" t="n">
        <f aca="false">$B$28+$B$12+MAX(0,G36-3)*$B$13</f>
        <v>38.75</v>
      </c>
    </row>
    <row r="41" customFormat="false" ht="15" hidden="false" customHeight="false" outlineLevel="0" collapsed="false">
      <c r="A41" s="10" t="s">
        <v>246</v>
      </c>
      <c r="B41" s="24" t="n">
        <f aca="false">$B$27*B32*$B$21</f>
        <v>9.568</v>
      </c>
      <c r="C41" s="24" t="n">
        <f aca="false">$B$27*C32*$B$21</f>
        <v>11.168</v>
      </c>
      <c r="D41" s="24" t="n">
        <f aca="false">$B$27*D32*$B$21</f>
        <v>12.768</v>
      </c>
      <c r="E41" s="24" t="n">
        <f aca="false">$B$27*E32*$B$21</f>
        <v>7.008</v>
      </c>
      <c r="F41" s="24" t="n">
        <f aca="false">$B$27*F32*$B$21</f>
        <v>5.088</v>
      </c>
      <c r="G41" s="24" t="n">
        <f aca="false">$B$27*G32*$B$21</f>
        <v>73.568</v>
      </c>
    </row>
    <row r="42" customFormat="false" ht="15" hidden="false" customHeight="false" outlineLevel="0" collapsed="false">
      <c r="A42" s="10" t="s">
        <v>247</v>
      </c>
      <c r="B42" s="24" t="n">
        <f aca="false">(1-$B$21)*$B$17</f>
        <v>0.2</v>
      </c>
      <c r="C42" s="24" t="n">
        <f aca="false">(1-$B$21)*$B$17</f>
        <v>0.2</v>
      </c>
      <c r="D42" s="24" t="n">
        <f aca="false">(1-$B$21)*$B$17</f>
        <v>0.2</v>
      </c>
      <c r="E42" s="24" t="n">
        <f aca="false">(1-$B$21)*$B$17</f>
        <v>0.2</v>
      </c>
      <c r="F42" s="24" t="n">
        <f aca="false">(1-$B$21)*$B$17</f>
        <v>0.2</v>
      </c>
      <c r="G42" s="24" t="n">
        <f aca="false">(1-$B$21)*$B$17</f>
        <v>0.2</v>
      </c>
    </row>
    <row r="43" customFormat="false" ht="15" hidden="false" customHeight="false" outlineLevel="0" collapsed="false">
      <c r="A43" s="10" t="s">
        <v>248</v>
      </c>
      <c r="B43" s="24" t="n">
        <f aca="false">B35*$B$19*$B$26*$B$20</f>
        <v>0.2695</v>
      </c>
      <c r="C43" s="24" t="n">
        <f aca="false">C35*$B$19*$B$26*$B$20</f>
        <v>0.2695</v>
      </c>
      <c r="D43" s="24" t="n">
        <f aca="false">D35*$B$19*$B$26*$B$20</f>
        <v>0.2695</v>
      </c>
      <c r="E43" s="24" t="n">
        <f aca="false">E35*$B$19*$B$26*$B$20</f>
        <v>0.847</v>
      </c>
      <c r="F43" s="24" t="n">
        <f aca="false">F35*$B$19*$B$26*$B$20</f>
        <v>0.9065</v>
      </c>
      <c r="G43" s="24" t="n">
        <f aca="false">G35*$B$19*$B$26*$B$20</f>
        <v>3.0625</v>
      </c>
    </row>
    <row r="44" customFormat="false" ht="15" hidden="false" customHeight="false" outlineLevel="0" collapsed="false">
      <c r="A44" s="10" t="s">
        <v>249</v>
      </c>
      <c r="B44" s="24" t="n">
        <f aca="false">$B$22/($B$23*B37)</f>
        <v>0.316666666666667</v>
      </c>
      <c r="C44" s="24" t="n">
        <f aca="false">$B$22/($B$23*C37)</f>
        <v>0.316666666666667</v>
      </c>
      <c r="D44" s="24" t="n">
        <f aca="false">$B$22/($B$23*D37)</f>
        <v>0.316666666666667</v>
      </c>
      <c r="E44" s="24" t="n">
        <f aca="false">$B$22/($B$23*E37)</f>
        <v>0.633333333333333</v>
      </c>
      <c r="F44" s="24" t="n">
        <f aca="false">$B$22/($B$23*F37)</f>
        <v>0.633333333333333</v>
      </c>
      <c r="G44" s="24" t="n">
        <f aca="false">$B$22/($B$23*G37)</f>
        <v>3.8</v>
      </c>
    </row>
    <row r="45" customFormat="false" ht="15" hidden="false" customHeight="false" outlineLevel="0" collapsed="false">
      <c r="A45" s="10" t="s">
        <v>250</v>
      </c>
      <c r="B45" s="6" t="n">
        <f aca="false">Stock_Hub!$B$28/Stock_Hub!$B$31</f>
        <v>2.14285714285714</v>
      </c>
      <c r="C45" s="6" t="n">
        <f aca="false">Stock_Hub!$B$28/Stock_Hub!$B$31</f>
        <v>2.14285714285714</v>
      </c>
      <c r="D45" s="6" t="n">
        <f aca="false">Stock_Hub!$B$28/Stock_Hub!$B$31</f>
        <v>2.14285714285714</v>
      </c>
      <c r="E45" s="6" t="n">
        <f aca="false">Stock_Hub!$B$28/Stock_Hub!$B$31</f>
        <v>2.14285714285714</v>
      </c>
      <c r="F45" s="6" t="n">
        <f aca="false">Stock_Hub!$B$28/Stock_Hub!$B$31</f>
        <v>2.14285714285714</v>
      </c>
      <c r="G45" s="6" t="n">
        <f aca="false">Stock_Hub!$B$28/Stock_Hub!$B$31</f>
        <v>2.14285714285714</v>
      </c>
    </row>
    <row r="46" customFormat="false" ht="15" hidden="false" customHeight="false" outlineLevel="0" collapsed="false">
      <c r="A46" s="10" t="s">
        <v>251</v>
      </c>
      <c r="B46" s="24" t="n">
        <f aca="false">SUM(B40:B45)</f>
        <v>29.4970238095238</v>
      </c>
      <c r="C46" s="24" t="n">
        <f aca="false">SUM(C40:C45)</f>
        <v>31.0970238095238</v>
      </c>
      <c r="D46" s="24" t="n">
        <f aca="false">SUM(D40:D45)</f>
        <v>32.6970238095238</v>
      </c>
      <c r="E46" s="24" t="n">
        <f aca="false">SUM(E40:E45)</f>
        <v>30.5911904761905</v>
      </c>
      <c r="F46" s="24" t="n">
        <f aca="false">SUM(F40:F45)</f>
        <v>29.2406904761905</v>
      </c>
      <c r="G46" s="24" t="n">
        <f aca="false">SUM(G40:G45)</f>
        <v>121.523357142857</v>
      </c>
    </row>
    <row r="47" customFormat="false" ht="15" hidden="false" customHeight="false" outlineLevel="0" collapsed="false">
      <c r="A47" s="10" t="s">
        <v>252</v>
      </c>
      <c r="B47" s="24" t="n">
        <f aca="false">B33-$B$18*B34</f>
        <v>230.96991902476</v>
      </c>
      <c r="C47" s="24" t="n">
        <f aca="false">C33-$B$18*C34</f>
        <v>270.826279703949</v>
      </c>
      <c r="D47" s="24" t="n">
        <f aca="false">D33-$B$18*D34</f>
        <v>308.166119706394</v>
      </c>
      <c r="E47" s="24" t="n">
        <f aca="false">E33-$B$18*E34</f>
        <v>138.044268961209</v>
      </c>
      <c r="F47" s="24" t="n">
        <f aca="false">F33-$B$18*F34</f>
        <v>94.9041709887997</v>
      </c>
      <c r="G47" s="24" t="n">
        <f aca="false">G33-$B$18*G34</f>
        <v>1221.22201184947</v>
      </c>
    </row>
    <row r="48" customFormat="false" ht="15" hidden="false" customHeight="false" outlineLevel="0" collapsed="false">
      <c r="A48" s="25" t="s">
        <v>253</v>
      </c>
      <c r="B48" s="26" t="n">
        <f aca="false">$B$21*B47-B46</f>
        <v>155.278911410284</v>
      </c>
      <c r="C48" s="26" t="n">
        <f aca="false">$B$21*C47-C46</f>
        <v>185.563999953635</v>
      </c>
      <c r="D48" s="26" t="n">
        <f aca="false">$B$21*D47-D46</f>
        <v>213.835871955591</v>
      </c>
      <c r="E48" s="26" t="n">
        <f aca="false">$B$21*E47-E46</f>
        <v>79.844224692777</v>
      </c>
      <c r="F48" s="26" t="n">
        <f aca="false">$B$21*F47-F46</f>
        <v>46.6826463148492</v>
      </c>
      <c r="G48" s="26" t="n">
        <f aca="false">$B$21*G47-G46</f>
        <v>855.454252336715</v>
      </c>
    </row>
    <row r="49" customFormat="false" ht="15" hidden="false" customHeight="false" outlineLevel="0" collapsed="false">
      <c r="A49" s="25" t="s">
        <v>254</v>
      </c>
      <c r="B49" s="27" t="n">
        <f aca="false">B48-B39</f>
        <v>-1.88035980952384</v>
      </c>
      <c r="C49" s="27" t="n">
        <f aca="false">C48-C39</f>
        <v>-2.27355980952382</v>
      </c>
      <c r="D49" s="27" t="n">
        <f aca="false">D48-D39</f>
        <v>-2.66675980952382</v>
      </c>
      <c r="E49" s="27" t="n">
        <f aca="false">E48-E39</f>
        <v>-4.90540647619049</v>
      </c>
      <c r="F49" s="27" t="n">
        <f aca="false">F48-F39</f>
        <v>-5.00306647619048</v>
      </c>
      <c r="G49" s="27" t="n">
        <f aca="false">G48-G39</f>
        <v>-45.6346931428571</v>
      </c>
    </row>
    <row r="50" customFormat="false" ht="15" hidden="false" customHeight="false" outlineLevel="0" collapsed="false">
      <c r="A50" s="25" t="s">
        <v>255</v>
      </c>
      <c r="B50" s="42" t="n">
        <f aca="false">IF(B49&lt;0,-B49/B47,0)</f>
        <v>0.00814114590100482</v>
      </c>
      <c r="C50" s="42" t="n">
        <f aca="false">IF(C49&lt;0,-C49/C47,0)</f>
        <v>0.00839490101185579</v>
      </c>
      <c r="D50" s="42" t="n">
        <f aca="false">IF(D49&lt;0,-D49/D47,0)</f>
        <v>0.00865364372976688</v>
      </c>
      <c r="E50" s="42" t="n">
        <f aca="false">IF(E49&lt;0,-E49/E47,0)</f>
        <v>0.0355350244751481</v>
      </c>
      <c r="F50" s="42" t="n">
        <f aca="false">IF(F49&lt;0,-F49/F47,0)</f>
        <v>0.0527170347105285</v>
      </c>
      <c r="G50" s="42" t="n">
        <f aca="false">IF(G49&lt;0,-G49/G47,0)</f>
        <v>0.0373680565041128</v>
      </c>
    </row>
    <row r="51" customFormat="false" ht="15" hidden="false" customHeight="false" outlineLevel="0" collapsed="false">
      <c r="A51" s="25" t="s">
        <v>256</v>
      </c>
      <c r="B51" s="40" t="n">
        <f aca="false">($B$21*B47-(B40+B42+B43+B44)-B39)/(B32*$B$21)</f>
        <v>0.0410973968784837</v>
      </c>
      <c r="C51" s="40" t="n">
        <f aca="false">($B$21*C47-(C40+C42+C43+C44)-C39)/(C32*$B$21)</f>
        <v>0.0395318672397326</v>
      </c>
      <c r="D51" s="40" t="n">
        <f aca="false">($B$21*D47-(D40+D42+D43+D44)-D39)/(D32*$B$21)</f>
        <v>0.038358700918964</v>
      </c>
      <c r="E51" s="40" t="n">
        <f aca="false">($B$21*E47-(E40+E42+E43+E44)-E39)/(E32*$B$21)</f>
        <v>0.0242320243531202</v>
      </c>
      <c r="F51" s="40" t="n">
        <f aca="false">($B$21*F47-(F40+F42+F43+F44)-F39)/(F32*$B$21)</f>
        <v>0.0175140775681342</v>
      </c>
      <c r="G51" s="40" t="n">
        <f aca="false">($B$21*G47-(G40+G42+G43+G44)-G39)/(G32*$B$21)</f>
        <v>0.0163528512396695</v>
      </c>
    </row>
    <row r="54" customFormat="false" ht="15" hidden="false" customHeight="false" outlineLevel="0" collapsed="false">
      <c r="A54" s="8" t="s">
        <v>257</v>
      </c>
      <c r="B54" s="9"/>
      <c r="C54" s="9"/>
      <c r="D54" s="9"/>
      <c r="E54" s="9"/>
      <c r="F54" s="9"/>
      <c r="G54" s="9"/>
    </row>
    <row r="55" customFormat="false" ht="15" hidden="false" customHeight="false" outlineLevel="0" collapsed="false">
      <c r="A55" s="25" t="s">
        <v>258</v>
      </c>
      <c r="B55" s="20" t="n">
        <v>50</v>
      </c>
      <c r="C55" s="20" t="n">
        <v>75</v>
      </c>
      <c r="D55" s="20" t="n">
        <v>100</v>
      </c>
      <c r="E55" s="20" t="n">
        <v>150</v>
      </c>
      <c r="F55" s="20" t="n">
        <v>200</v>
      </c>
      <c r="G55" s="20" t="n">
        <v>300</v>
      </c>
    </row>
    <row r="56" customFormat="false" ht="15" hidden="false" customHeight="false" outlineLevel="0" collapsed="false">
      <c r="A56" s="25" t="s">
        <v>259</v>
      </c>
      <c r="B56" s="27" t="n">
        <f aca="false">$C$49+($B$28-$B$11*MAX($B$25,B55)/B55)</f>
        <v>-10.5235598095238</v>
      </c>
      <c r="C56" s="27" t="n">
        <f aca="false">$C$49+($B$28-$B$11*MAX($B$25,C55)/C55)</f>
        <v>-5.02355980952382</v>
      </c>
      <c r="D56" s="27" t="n">
        <f aca="false">$C$49+($B$28-$B$11*MAX($B$25,D55)/D55)</f>
        <v>-2.27355980952382</v>
      </c>
      <c r="E56" s="27" t="n">
        <f aca="false">$C$49+($B$28-$B$11*MAX($B$25,E55)/E55)</f>
        <v>0.476440190476183</v>
      </c>
      <c r="F56" s="27" t="n">
        <f aca="false">$C$49+($B$28-$B$11*MAX($B$25,F55)/F55)</f>
        <v>0.476440190476183</v>
      </c>
      <c r="G56" s="27" t="n">
        <f aca="false">$C$49+($B$28-$B$11*MAX($B$25,G55)/G55)</f>
        <v>0.476440190476183</v>
      </c>
    </row>
    <row r="58" customFormat="false" ht="15" hidden="false" customHeight="false" outlineLevel="0" collapsed="false">
      <c r="A58" s="2" t="s">
        <v>260</v>
      </c>
    </row>
    <row r="59" customFormat="false" ht="15" hidden="false" customHeight="false" outlineLevel="0" collapsed="false">
      <c r="A59" s="2" t="s">
        <v>261</v>
      </c>
    </row>
    <row r="60" customFormat="false" ht="15" hidden="false" customHeight="false" outlineLevel="0" collapsed="false">
      <c r="A60" s="2" t="s">
        <v>262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7" min="2" style="0" width="17"/>
  </cols>
  <sheetData>
    <row r="1" customFormat="false" ht="17.35" hidden="false" customHeight="false" outlineLevel="0" collapsed="false">
      <c r="A1" s="1" t="s">
        <v>263</v>
      </c>
    </row>
    <row r="2" customFormat="false" ht="15" hidden="false" customHeight="false" outlineLevel="0" collapsed="false">
      <c r="A2" s="2" t="s">
        <v>264</v>
      </c>
    </row>
    <row r="4" customFormat="false" ht="15" hidden="false" customHeight="false" outlineLevel="0" collapsed="false">
      <c r="A4" s="10" t="s">
        <v>265</v>
      </c>
      <c r="B4" s="43" t="n">
        <f aca="false">Courier_Hub!B24/30</f>
        <v>3.33333333333333</v>
      </c>
      <c r="C4" s="2" t="s">
        <v>266</v>
      </c>
    </row>
    <row r="5" customFormat="false" ht="15" hidden="false" customHeight="false" outlineLevel="0" collapsed="false">
      <c r="A5" s="10" t="s">
        <v>267</v>
      </c>
      <c r="B5" s="15" t="n">
        <v>28</v>
      </c>
      <c r="C5" s="2" t="s">
        <v>268</v>
      </c>
    </row>
    <row r="6" customFormat="false" ht="15" hidden="false" customHeight="false" outlineLevel="0" collapsed="false">
      <c r="A6" s="10" t="s">
        <v>269</v>
      </c>
      <c r="B6" s="23" t="n">
        <v>3</v>
      </c>
      <c r="C6" s="2"/>
    </row>
    <row r="7" customFormat="false" ht="15" hidden="false" customHeight="false" outlineLevel="0" collapsed="false">
      <c r="A7" s="10" t="s">
        <v>270</v>
      </c>
      <c r="B7" s="44" t="n">
        <v>1</v>
      </c>
      <c r="C7" s="2" t="s">
        <v>271</v>
      </c>
    </row>
    <row r="8" customFormat="false" ht="15" hidden="false" customHeight="false" outlineLevel="0" collapsed="false">
      <c r="A8" s="10" t="s">
        <v>272</v>
      </c>
      <c r="B8" s="32" t="n">
        <v>200</v>
      </c>
      <c r="C8" s="2" t="s">
        <v>273</v>
      </c>
    </row>
    <row r="9" customFormat="false" ht="15" hidden="false" customHeight="false" outlineLevel="0" collapsed="false">
      <c r="A9" s="10" t="s">
        <v>227</v>
      </c>
      <c r="B9" s="45" t="n">
        <f aca="false">Courier_Hub!B23</f>
        <v>30</v>
      </c>
    </row>
    <row r="10" customFormat="false" ht="15" hidden="false" customHeight="false" outlineLevel="0" collapsed="false">
      <c r="A10" s="10" t="s">
        <v>274</v>
      </c>
      <c r="B10" s="14" t="n">
        <f aca="false">Courier_Hub!B22</f>
        <v>114</v>
      </c>
    </row>
    <row r="11" customFormat="false" ht="15" hidden="false" customHeight="false" outlineLevel="0" collapsed="false">
      <c r="A11" s="10" t="s">
        <v>233</v>
      </c>
      <c r="B11" s="34" t="n">
        <f aca="false">Supuestos!B5</f>
        <v>3.5</v>
      </c>
    </row>
    <row r="12" customFormat="false" ht="15" hidden="false" customHeight="false" outlineLevel="0" collapsed="false">
      <c r="A12" s="10" t="s">
        <v>219</v>
      </c>
      <c r="B12" s="46" t="n">
        <f aca="false">Courier_Hub!B19</f>
        <v>20</v>
      </c>
    </row>
    <row r="14" customFormat="false" ht="30" hidden="false" customHeight="true" outlineLevel="0" collapsed="false">
      <c r="A14" s="22" t="s">
        <v>2</v>
      </c>
      <c r="B14" s="22" t="s">
        <v>275</v>
      </c>
      <c r="C14" s="22" t="s">
        <v>276</v>
      </c>
      <c r="D14" s="22" t="s">
        <v>242</v>
      </c>
      <c r="E14" s="22" t="s">
        <v>277</v>
      </c>
      <c r="F14" s="22" t="s">
        <v>278</v>
      </c>
      <c r="G14" s="22" t="s">
        <v>279</v>
      </c>
    </row>
    <row r="15" customFormat="false" ht="15" hidden="false" customHeight="false" outlineLevel="0" collapsed="false">
      <c r="A15" s="10" t="s">
        <v>280</v>
      </c>
      <c r="B15" s="38" t="n">
        <v>0.6</v>
      </c>
      <c r="C15" s="47" t="n">
        <f aca="false">$B$4*($B$5+$B$6)*B15</f>
        <v>62</v>
      </c>
      <c r="D15" s="39" t="n">
        <v>12</v>
      </c>
      <c r="E15" s="47" t="n">
        <f aca="false">C15/D15</f>
        <v>5.16666666666667</v>
      </c>
      <c r="F15" s="41" t="n">
        <v>0.0077</v>
      </c>
      <c r="G15" s="48" t="n">
        <f aca="false">C15*F15</f>
        <v>0.4774</v>
      </c>
    </row>
    <row r="16" customFormat="false" ht="15" hidden="false" customHeight="false" outlineLevel="0" collapsed="false">
      <c r="A16" s="10" t="s">
        <v>281</v>
      </c>
      <c r="B16" s="38" t="n">
        <v>0.1</v>
      </c>
      <c r="C16" s="47" t="n">
        <f aca="false">$B$4*($B$5+$B$6)*B16</f>
        <v>10.3333333333333</v>
      </c>
      <c r="D16" s="39" t="n">
        <v>12</v>
      </c>
      <c r="E16" s="47" t="n">
        <f aca="false">C16/D16</f>
        <v>0.861111111111111</v>
      </c>
      <c r="F16" s="41" t="n">
        <v>0.0077</v>
      </c>
      <c r="G16" s="48" t="n">
        <f aca="false">C16*F16</f>
        <v>0.0795666666666667</v>
      </c>
    </row>
    <row r="17" customFormat="false" ht="15" hidden="false" customHeight="false" outlineLevel="0" collapsed="false">
      <c r="A17" s="10" t="s">
        <v>186</v>
      </c>
      <c r="B17" s="38" t="n">
        <v>0.12</v>
      </c>
      <c r="C17" s="47" t="n">
        <f aca="false">$B$4*($B$5+$B$6)*B17</f>
        <v>12.4</v>
      </c>
      <c r="D17" s="39" t="n">
        <v>6</v>
      </c>
      <c r="E17" s="47" t="n">
        <f aca="false">C17/D17</f>
        <v>2.06666666666667</v>
      </c>
      <c r="F17" s="41" t="n">
        <v>0.0242</v>
      </c>
      <c r="G17" s="48" t="n">
        <f aca="false">C17*F17</f>
        <v>0.30008</v>
      </c>
    </row>
    <row r="18" customFormat="false" ht="15" hidden="false" customHeight="false" outlineLevel="0" collapsed="false">
      <c r="A18" s="10" t="s">
        <v>187</v>
      </c>
      <c r="B18" s="38" t="n">
        <v>0.1</v>
      </c>
      <c r="C18" s="47" t="n">
        <f aca="false">$B$4*($B$5+$B$6)*B18</f>
        <v>10.3333333333333</v>
      </c>
      <c r="D18" s="39" t="n">
        <v>6</v>
      </c>
      <c r="E18" s="47" t="n">
        <f aca="false">C18/D18</f>
        <v>1.72222222222222</v>
      </c>
      <c r="F18" s="41" t="n">
        <v>0.0259</v>
      </c>
      <c r="G18" s="48" t="n">
        <f aca="false">C18*F18</f>
        <v>0.267633333333333</v>
      </c>
    </row>
    <row r="19" customFormat="false" ht="15" hidden="false" customHeight="false" outlineLevel="0" collapsed="false">
      <c r="A19" s="10" t="s">
        <v>189</v>
      </c>
      <c r="B19" s="38" t="n">
        <v>0.03</v>
      </c>
      <c r="C19" s="47" t="n">
        <f aca="false">$B$4*($B$5+$B$6)*B19</f>
        <v>3.1</v>
      </c>
      <c r="D19" s="39" t="n">
        <v>1</v>
      </c>
      <c r="E19" s="47" t="n">
        <f aca="false">C19/D19</f>
        <v>3.1</v>
      </c>
      <c r="F19" s="41" t="n">
        <v>0.0875</v>
      </c>
      <c r="G19" s="48" t="n">
        <f aca="false">C19*F19</f>
        <v>0.27125</v>
      </c>
    </row>
    <row r="20" customFormat="false" ht="15" hidden="false" customHeight="false" outlineLevel="0" collapsed="false">
      <c r="A20" s="10" t="s">
        <v>188</v>
      </c>
      <c r="B20" s="38" t="n">
        <v>0.05</v>
      </c>
      <c r="C20" s="47" t="n">
        <f aca="false">$B$4*($B$5+$B$6)*B20</f>
        <v>5.16666666666667</v>
      </c>
      <c r="D20" s="39" t="n">
        <v>11.5</v>
      </c>
      <c r="E20" s="47" t="n">
        <f aca="false">C20/D20</f>
        <v>0.449275362318841</v>
      </c>
      <c r="F20" s="41" t="n">
        <v>0.006</v>
      </c>
      <c r="G20" s="48" t="n">
        <f aca="false">C20*F20</f>
        <v>0.031</v>
      </c>
    </row>
    <row r="21" customFormat="false" ht="15" hidden="false" customHeight="false" outlineLevel="0" collapsed="false">
      <c r="A21" s="25" t="s">
        <v>115</v>
      </c>
      <c r="B21" s="42" t="n">
        <f aca="false">SUM(B15:B20)</f>
        <v>1</v>
      </c>
      <c r="C21" s="49" t="n">
        <f aca="false">SUM(C15:C20)</f>
        <v>103.333333333333</v>
      </c>
      <c r="E21" s="49" t="n">
        <f aca="false">SUM(E15:E20)</f>
        <v>13.3659420289855</v>
      </c>
      <c r="G21" s="50" t="n">
        <f aca="false">SUM(G15:G20)</f>
        <v>1.42693</v>
      </c>
    </row>
    <row r="23" customFormat="false" ht="15" hidden="false" customHeight="false" outlineLevel="0" collapsed="false">
      <c r="A23" s="8" t="s">
        <v>282</v>
      </c>
      <c r="B23" s="9"/>
      <c r="C23" s="9"/>
      <c r="D23" s="9"/>
      <c r="E23" s="9"/>
      <c r="F23" s="9"/>
      <c r="G23" s="9"/>
    </row>
    <row r="24" customFormat="false" ht="15" hidden="false" customHeight="false" outlineLevel="0" collapsed="false">
      <c r="A24" s="10" t="s">
        <v>283</v>
      </c>
      <c r="B24" s="47" t="n">
        <f aca="false">MAX($B$7,E21/$B$9)</f>
        <v>1</v>
      </c>
    </row>
    <row r="25" customFormat="false" ht="15" hidden="false" customHeight="false" outlineLevel="0" collapsed="false">
      <c r="A25" s="10" t="s">
        <v>284</v>
      </c>
      <c r="B25" s="24" t="n">
        <f aca="false">B24*$B$10</f>
        <v>114</v>
      </c>
    </row>
    <row r="26" customFormat="false" ht="15" hidden="false" customHeight="false" outlineLevel="0" collapsed="false">
      <c r="A26" s="10" t="s">
        <v>285</v>
      </c>
      <c r="B26" s="47" t="n">
        <f aca="false">30/$B$5</f>
        <v>1.07142857142857</v>
      </c>
    </row>
    <row r="27" customFormat="false" ht="15" hidden="false" customHeight="false" outlineLevel="0" collapsed="false">
      <c r="A27" s="10" t="s">
        <v>286</v>
      </c>
      <c r="B27" s="24" t="n">
        <f aca="false">B25*B26</f>
        <v>122.142857142857</v>
      </c>
    </row>
    <row r="28" customFormat="false" ht="15" hidden="false" customHeight="false" outlineLevel="0" collapsed="false">
      <c r="A28" s="10" t="s">
        <v>287</v>
      </c>
      <c r="B28" s="24" t="n">
        <f aca="false">$B$8*B26</f>
        <v>214.285714285714</v>
      </c>
    </row>
    <row r="29" customFormat="false" ht="15" hidden="false" customHeight="false" outlineLevel="0" collapsed="false">
      <c r="A29" s="10" t="s">
        <v>288</v>
      </c>
      <c r="B29" s="24" t="n">
        <f aca="false">G21*$B$12*$B$11</f>
        <v>99.8851</v>
      </c>
    </row>
    <row r="30" customFormat="false" ht="15" hidden="false" customHeight="false" outlineLevel="0" collapsed="false">
      <c r="A30" s="25" t="s">
        <v>289</v>
      </c>
      <c r="B30" s="26" t="n">
        <f aca="false">B27+B28+B29</f>
        <v>436.313671428571</v>
      </c>
    </row>
    <row r="31" customFormat="false" ht="15" hidden="false" customHeight="false" outlineLevel="0" collapsed="false">
      <c r="A31" s="10" t="s">
        <v>290</v>
      </c>
      <c r="B31" s="35" t="n">
        <f aca="false">B4*30</f>
        <v>100</v>
      </c>
    </row>
    <row r="32" customFormat="false" ht="15" hidden="false" customHeight="false" outlineLevel="0" collapsed="false">
      <c r="A32" s="10" t="s">
        <v>291</v>
      </c>
      <c r="B32" s="24" t="n">
        <f aca="false">Courier_Hub!B11*MAX(Courier_Hub!B25,B31)</f>
        <v>825</v>
      </c>
    </row>
    <row r="33" customFormat="false" ht="15" hidden="false" customHeight="false" outlineLevel="0" collapsed="false">
      <c r="A33" s="25" t="s">
        <v>292</v>
      </c>
      <c r="B33" s="29" t="n">
        <f aca="false">(B30+B32)/B31</f>
        <v>12.6131367142857</v>
      </c>
    </row>
    <row r="34" customFormat="false" ht="15" hidden="false" customHeight="false" outlineLevel="0" collapsed="false">
      <c r="A34" s="10" t="s">
        <v>293</v>
      </c>
      <c r="B34" s="18" t="n">
        <f aca="false">(Supuestos!B16*B31+Supuestos!B36)/B31</f>
        <v>7.5</v>
      </c>
    </row>
    <row r="35" customFormat="false" ht="15" hidden="false" customHeight="false" outlineLevel="0" collapsed="false">
      <c r="A35" s="25" t="s">
        <v>294</v>
      </c>
      <c r="B35" s="36" t="n">
        <f aca="false">B33-B34</f>
        <v>5.11313671428572</v>
      </c>
    </row>
    <row r="37" customFormat="false" ht="15" hidden="false" customHeight="false" outlineLevel="0" collapsed="false">
      <c r="A37" s="2" t="s">
        <v>295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6" min="2" style="0" width="19"/>
  </cols>
  <sheetData>
    <row r="1" customFormat="false" ht="17.35" hidden="false" customHeight="false" outlineLevel="0" collapsed="false">
      <c r="A1" s="1" t="s">
        <v>296</v>
      </c>
    </row>
    <row r="2" customFormat="false" ht="15" hidden="false" customHeight="false" outlineLevel="0" collapsed="false">
      <c r="A2" s="2" t="s">
        <v>297</v>
      </c>
    </row>
    <row r="4" customFormat="false" ht="30" hidden="false" customHeight="true" outlineLevel="0" collapsed="false">
      <c r="A4" s="22" t="s">
        <v>2</v>
      </c>
      <c r="B4" s="22" t="s">
        <v>119</v>
      </c>
      <c r="C4" s="22" t="s">
        <v>106</v>
      </c>
      <c r="D4" s="22" t="s">
        <v>107</v>
      </c>
    </row>
    <row r="5" customFormat="false" ht="15" hidden="false" customHeight="false" outlineLevel="0" collapsed="false">
      <c r="A5" s="10" t="s">
        <v>298</v>
      </c>
      <c r="B5" s="20" t="n">
        <v>1008</v>
      </c>
      <c r="C5" s="13" t="n">
        <v>4.9</v>
      </c>
      <c r="D5" s="18" t="n">
        <f aca="false">B5*C5</f>
        <v>4939.2</v>
      </c>
    </row>
    <row r="6" customFormat="false" ht="15" hidden="false" customHeight="false" outlineLevel="0" collapsed="false">
      <c r="A6" s="10" t="s">
        <v>299</v>
      </c>
      <c r="B6" s="20" t="n">
        <v>1000</v>
      </c>
      <c r="C6" s="13" t="n">
        <v>0.55</v>
      </c>
      <c r="D6" s="18" t="n">
        <f aca="false">B6*C6</f>
        <v>550</v>
      </c>
    </row>
    <row r="7" customFormat="false" ht="15" hidden="false" customHeight="false" outlineLevel="0" collapsed="false">
      <c r="A7" s="10" t="s">
        <v>300</v>
      </c>
      <c r="B7" s="20" t="n">
        <v>500</v>
      </c>
      <c r="C7" s="13" t="n">
        <v>3.55</v>
      </c>
      <c r="D7" s="18" t="n">
        <f aca="false">B7*C7</f>
        <v>1775</v>
      </c>
    </row>
    <row r="8" customFormat="false" ht="15" hidden="false" customHeight="false" outlineLevel="0" collapsed="false">
      <c r="A8" s="10" t="s">
        <v>301</v>
      </c>
      <c r="B8" s="20" t="n">
        <v>5</v>
      </c>
      <c r="C8" s="13" t="n">
        <v>15</v>
      </c>
      <c r="D8" s="18" t="n">
        <f aca="false">B8*C8</f>
        <v>75</v>
      </c>
    </row>
    <row r="9" customFormat="false" ht="15" hidden="false" customHeight="false" outlineLevel="0" collapsed="false">
      <c r="A9" s="10" t="s">
        <v>302</v>
      </c>
      <c r="B9" s="20" t="n">
        <v>1</v>
      </c>
      <c r="C9" s="13" t="n">
        <v>665</v>
      </c>
      <c r="D9" s="18" t="n">
        <f aca="false">B9*C9</f>
        <v>665</v>
      </c>
    </row>
    <row r="10" customFormat="false" ht="15" hidden="false" customHeight="false" outlineLevel="0" collapsed="false">
      <c r="A10" s="25" t="s">
        <v>303</v>
      </c>
      <c r="D10" s="29" t="n">
        <f aca="false">SUM(D5:D9)</f>
        <v>8004.2</v>
      </c>
    </row>
    <row r="11" customFormat="false" ht="15" hidden="false" customHeight="false" outlineLevel="0" collapsed="false">
      <c r="A11" s="2" t="s">
        <v>304</v>
      </c>
    </row>
    <row r="13" customFormat="false" ht="15" hidden="false" customHeight="false" outlineLevel="0" collapsed="false">
      <c r="A13" s="8" t="s">
        <v>305</v>
      </c>
    </row>
    <row r="14" customFormat="false" ht="15" hidden="false" customHeight="false" outlineLevel="0" collapsed="false">
      <c r="A14" s="10" t="s">
        <v>306</v>
      </c>
      <c r="B14" s="13" t="n">
        <v>1135.87</v>
      </c>
    </row>
    <row r="15" customFormat="false" ht="15" hidden="false" customHeight="false" outlineLevel="0" collapsed="false">
      <c r="A15" s="10" t="s">
        <v>307</v>
      </c>
      <c r="B15" s="13" t="n">
        <v>135.13</v>
      </c>
    </row>
    <row r="16" customFormat="false" ht="15" hidden="false" customHeight="false" outlineLevel="0" collapsed="false">
      <c r="A16" s="10" t="s">
        <v>308</v>
      </c>
      <c r="B16" s="13" t="n">
        <v>1720</v>
      </c>
    </row>
    <row r="17" customFormat="false" ht="15" hidden="false" customHeight="false" outlineLevel="0" collapsed="false">
      <c r="A17" s="10" t="s">
        <v>309</v>
      </c>
      <c r="B17" s="13" t="n">
        <v>309.6</v>
      </c>
    </row>
    <row r="18" customFormat="false" ht="15" hidden="false" customHeight="false" outlineLevel="0" collapsed="false">
      <c r="A18" s="10" t="s">
        <v>310</v>
      </c>
      <c r="B18" s="13" t="n">
        <v>5961</v>
      </c>
    </row>
    <row r="19" customFormat="false" ht="15" hidden="false" customHeight="false" outlineLevel="0" collapsed="false">
      <c r="A19" s="10" t="s">
        <v>311</v>
      </c>
      <c r="B19" s="15" t="n">
        <v>1</v>
      </c>
    </row>
    <row r="20" customFormat="false" ht="15" hidden="false" customHeight="false" outlineLevel="0" collapsed="false">
      <c r="A20" s="10" t="s">
        <v>17</v>
      </c>
      <c r="B20" s="34" t="n">
        <f aca="false">Supuestos!B5</f>
        <v>3.5</v>
      </c>
    </row>
    <row r="21" customFormat="false" ht="15" hidden="false" customHeight="false" outlineLevel="0" collapsed="false">
      <c r="A21" s="2" t="s">
        <v>312</v>
      </c>
    </row>
    <row r="23" customFormat="false" ht="15" hidden="false" customHeight="false" outlineLevel="0" collapsed="false">
      <c r="A23" s="8" t="s">
        <v>313</v>
      </c>
    </row>
    <row r="24" customFormat="false" ht="15" hidden="false" customHeight="false" outlineLevel="0" collapsed="false">
      <c r="A24" s="10" t="s">
        <v>314</v>
      </c>
      <c r="B24" s="18" t="n">
        <f aca="false">D10*B20</f>
        <v>28014.7</v>
      </c>
    </row>
    <row r="25" customFormat="false" ht="15" hidden="false" customHeight="false" outlineLevel="0" collapsed="false">
      <c r="A25" s="10" t="s">
        <v>315</v>
      </c>
      <c r="B25" s="18" t="n">
        <f aca="false">B14*B20</f>
        <v>3975.545</v>
      </c>
    </row>
    <row r="26" customFormat="false" ht="15" hidden="false" customHeight="false" outlineLevel="0" collapsed="false">
      <c r="A26" s="10" t="s">
        <v>316</v>
      </c>
      <c r="B26" s="18" t="n">
        <f aca="false">B16+B17</f>
        <v>2029.6</v>
      </c>
    </row>
    <row r="27" customFormat="false" ht="15" hidden="false" customHeight="false" outlineLevel="0" collapsed="false">
      <c r="A27" s="10" t="s">
        <v>166</v>
      </c>
      <c r="B27" s="18" t="n">
        <f aca="false">B18</f>
        <v>5961</v>
      </c>
    </row>
    <row r="28" customFormat="false" ht="15" hidden="false" customHeight="false" outlineLevel="0" collapsed="false">
      <c r="A28" s="25" t="s">
        <v>317</v>
      </c>
      <c r="B28" s="29" t="n">
        <f aca="false">SUM(B24:B27)</f>
        <v>39980.845</v>
      </c>
    </row>
    <row r="29" customFormat="false" ht="15" hidden="false" customHeight="false" outlineLevel="0" collapsed="false">
      <c r="A29" s="10" t="s">
        <v>318</v>
      </c>
      <c r="B29" s="18" t="n">
        <f aca="false">B19*(B18+B17+B15*B20)</f>
        <v>6743.555</v>
      </c>
    </row>
    <row r="30" customFormat="false" ht="15" hidden="false" customHeight="false" outlineLevel="0" collapsed="false">
      <c r="A30" s="25" t="s">
        <v>174</v>
      </c>
      <c r="B30" s="36" t="n">
        <f aca="false">B28-B29</f>
        <v>33237.29</v>
      </c>
    </row>
    <row r="31" customFormat="false" ht="15" hidden="false" customHeight="false" outlineLevel="0" collapsed="false">
      <c r="A31" s="10" t="s">
        <v>175</v>
      </c>
      <c r="B31" s="18" t="n">
        <f aca="false">B30/B20</f>
        <v>9496.36857142857</v>
      </c>
    </row>
    <row r="33" customFormat="false" ht="15" hidden="false" customHeight="false" outlineLevel="0" collapsed="false">
      <c r="A33" s="8" t="s">
        <v>319</v>
      </c>
    </row>
    <row r="34" customFormat="false" ht="30" hidden="false" customHeight="true" outlineLevel="0" collapsed="false">
      <c r="A34" s="22" t="s">
        <v>2</v>
      </c>
      <c r="B34" s="22" t="s">
        <v>320</v>
      </c>
      <c r="C34" s="22" t="s">
        <v>321</v>
      </c>
      <c r="D34" s="22" t="s">
        <v>322</v>
      </c>
      <c r="E34" s="22" t="s">
        <v>105</v>
      </c>
      <c r="F34" s="22" t="s">
        <v>323</v>
      </c>
    </row>
    <row r="35" customFormat="false" ht="15" hidden="false" customHeight="false" outlineLevel="0" collapsed="false">
      <c r="A35" s="10" t="s">
        <v>324</v>
      </c>
      <c r="B35" s="18" t="n">
        <f aca="false">D5</f>
        <v>4939.2</v>
      </c>
      <c r="C35" s="19" t="n">
        <f aca="false">B35/SUM($B$35:$B$37)</f>
        <v>0.679937226397952</v>
      </c>
      <c r="D35" s="18" t="n">
        <f aca="false">C35*$B$30</f>
        <v>22599.2707755844</v>
      </c>
      <c r="E35" s="35" t="n">
        <f aca="false">B5</f>
        <v>1008</v>
      </c>
      <c r="F35" s="36" t="n">
        <f aca="false">D35/E35</f>
        <v>22.4199114837147</v>
      </c>
    </row>
    <row r="36" customFormat="false" ht="15" hidden="false" customHeight="false" outlineLevel="0" collapsed="false">
      <c r="A36" s="10" t="s">
        <v>325</v>
      </c>
      <c r="B36" s="18" t="n">
        <f aca="false">D6</f>
        <v>550</v>
      </c>
      <c r="C36" s="19" t="n">
        <f aca="false">B36/SUM($B$35:$B$37)</f>
        <v>0.0757137744004846</v>
      </c>
      <c r="D36" s="18" t="n">
        <f aca="false">C36*$B$30</f>
        <v>2516.52067674348</v>
      </c>
      <c r="E36" s="35" t="n">
        <f aca="false">B6</f>
        <v>1000</v>
      </c>
      <c r="F36" s="36" t="n">
        <f aca="false">D36/E36</f>
        <v>2.51652067674348</v>
      </c>
    </row>
    <row r="37" customFormat="false" ht="15" hidden="false" customHeight="false" outlineLevel="0" collapsed="false">
      <c r="A37" s="10" t="s">
        <v>326</v>
      </c>
      <c r="B37" s="18" t="n">
        <f aca="false">D7</f>
        <v>1775</v>
      </c>
      <c r="C37" s="19" t="n">
        <f aca="false">B37/SUM($B$35:$B$37)</f>
        <v>0.244348999201564</v>
      </c>
      <c r="D37" s="18" t="n">
        <f aca="false">C37*$B$30</f>
        <v>8121.49854767215</v>
      </c>
      <c r="E37" s="35" t="n">
        <f aca="false">B7</f>
        <v>500</v>
      </c>
      <c r="F37" s="36" t="n">
        <f aca="false">D37/E37</f>
        <v>16.2429970953443</v>
      </c>
    </row>
    <row r="38" customFormat="false" ht="15" hidden="false" customHeight="false" outlineLevel="0" collapsed="false">
      <c r="A38" s="25" t="s">
        <v>115</v>
      </c>
      <c r="B38" s="29" t="n">
        <f aca="false">SUM(B35:B37)</f>
        <v>7264.2</v>
      </c>
      <c r="C38" s="42" t="n">
        <f aca="false">SUM(C35:C37)</f>
        <v>1</v>
      </c>
      <c r="D38" s="29" t="n">
        <f aca="false">SUM(D35:D37)</f>
        <v>33237.29</v>
      </c>
    </row>
    <row r="39" customFormat="false" ht="15" hidden="false" customHeight="false" outlineLevel="0" collapsed="false">
      <c r="A39" s="2" t="s">
        <v>327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2026-10-19T22:09:28Z</dcterms:created>
  <dc:creator>openpyxl</dc:creator>
  <dc:description/>
  <dc:language>en-US</dc:language>
  <cp:lastModifiedBy/>
  <dcterms:modified xsi:type="dcterms:W3CDTF">2026-10-19T22:09:29Z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