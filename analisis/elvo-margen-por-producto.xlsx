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_Resumen" sheetId="1" state="visible" r:id="rId3"/>
    <sheet name="Plan_Supuestos" sheetId="2" state="visible" r:id="rId4"/>
    <sheet name="Plan_Conservador" sheetId="3" state="visible" r:id="rId5"/>
    <sheet name="Plan_Base" sheetId="4" state="visible" r:id="rId6"/>
    <sheet name="Plan_Ambicioso" sheetId="5" state="visible" r:id="rId7"/>
    <sheet name="Resumen" sheetId="6" state="visible" r:id="rId8"/>
    <sheet name="Supuestos" sheetId="7" state="visible" r:id="rId9"/>
    <sheet name="Desglose" sheetId="8" state="visible" r:id="rId10"/>
    <sheet name="Contenedor2" sheetId="9" state="visible" r:id="rId11"/>
    <sheet name="Courier_Hub" sheetId="10" state="visible" r:id="rId12"/>
    <sheet name="Courier_Dinsides" sheetId="11" state="visible" r:id="rId13"/>
    <sheet name="Stock_Hub" sheetId="12" state="visible" r:id="rId14"/>
    <sheet name="Costo_Lim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<sst xmlns="http://schemas.openxmlformats.org/spreadsheetml/2006/main" count="787" uniqueCount="554">
  <si>
    <t xml:space="preserve">Plan hacia US$ 1M de utilidad anual - resumen de escenarios</t>
  </si>
  <si>
    <t xml:space="preserve">Todo son formulas. Cambia los supuestos en Plan_Supuestos. La utilidad es antes de impuestos salvo que pongas una tasa. Canales propios (Shopify + WhatsApp).</t>
  </si>
  <si>
    <t xml:space="preserve">Resultado</t>
  </si>
  <si>
    <t xml:space="preserve">Conservador</t>
  </si>
  <si>
    <t xml:space="preserve">Base</t>
  </si>
  <si>
    <t xml:space="preserve">Ambicioso</t>
  </si>
  <si>
    <t xml:space="preserve">Gasto Meta al mes 24 (S/ por mes)</t>
  </si>
  <si>
    <t xml:space="preserve">CAC al mes 24 (S/)</t>
  </si>
  <si>
    <t xml:space="preserve">Pedidos nuevos por dia al mes 24</t>
  </si>
  <si>
    <t xml:space="preserve">Utilidad neta del mes 12 (S/)</t>
  </si>
  <si>
    <t xml:space="preserve">Utilidad neta del mes 24 (S/)</t>
  </si>
  <si>
    <t xml:space="preserve">Utilidad de los ultimos 12 meses, mes 13 a 24 (US$)</t>
  </si>
  <si>
    <t xml:space="preserve">Run-rate anual al mes 24 (US$)</t>
  </si>
  <si>
    <t xml:space="preserve">Utilidad acumulada en 24 meses (US$)</t>
  </si>
  <si>
    <t xml:space="preserve">Primer mes con run-rate anual &gt;= meta</t>
  </si>
  <si>
    <t xml:space="preserve">Necesidad maxima de caja (S/)</t>
  </si>
  <si>
    <t xml:space="preserve">Lectura: la meta es US$ 1M de utilidad al año. "Run-rate" = utilidad del mes x 12. Si el escenario no llega, la fila "Primer mes" dice "no en 24 meses".</t>
  </si>
  <si>
    <t xml:space="preserve">Que comprar en el proximo lote (escenario Base)</t>
  </si>
  <si>
    <t xml:space="preserve">Producto</t>
  </si>
  <si>
    <t xml:space="preserve">Demanda meses 5 a 10 (Mar-Ago 2027)</t>
  </si>
  <si>
    <t xml:space="preserve">Con colchon</t>
  </si>
  <si>
    <t xml:space="preserve">Stock actual</t>
  </si>
  <si>
    <t xml:space="preserve">A comprar</t>
  </si>
  <si>
    <t xml:space="preserve">Costo unitario puesto en Lima (S/)</t>
  </si>
  <si>
    <t xml:space="preserve">Capital (S/)</t>
  </si>
  <si>
    <t xml:space="preserve">Purificadores Nativo + Vivo</t>
  </si>
  <si>
    <t xml:space="preserve">Repuestos de caño</t>
  </si>
  <si>
    <t xml:space="preserve">Piezas Ritual</t>
  </si>
  <si>
    <t xml:space="preserve">Bidon 22 L</t>
  </si>
  <si>
    <t xml:space="preserve">Bidon 16 L</t>
  </si>
  <si>
    <t xml:space="preserve">elvo· Cero</t>
  </si>
  <si>
    <t xml:space="preserve">Total capital del lote</t>
  </si>
  <si>
    <t xml:space="preserve">Colchon sobre la demanda</t>
  </si>
  <si>
    <t xml:space="preserve">Stock actual: 450 purificadores y 600 repuestos (usuario); bidones, Cero y kits son los del contenedor que llega el 25-oct. Los bidones y el Cero ya estan comprados: cuentan como stock.</t>
  </si>
  <si>
    <t xml:space="preserve">La demanda de purificadores y repuestos sale de los pedidos del escenario Base; el tiempo de importacion es de ~4.5 meses, por eso este lote llega para marzo de 2027.</t>
  </si>
  <si>
    <t xml:space="preserve">Plan hacia US$ 1M de utilidad - supuestos (canales propios: Shopify y WhatsApp/YaVendio)</t>
  </si>
  <si>
    <t xml:space="preserve">Azul = supuesto editable; amarillo = el mas incierto. Verde = viene de las otras hojas. Los marketplaces van en otro analisis.</t>
  </si>
  <si>
    <t xml:space="preserve">General (igual en los tres escenarios)</t>
  </si>
  <si>
    <t xml:space="preserve">Valor</t>
  </si>
  <si>
    <t xml:space="preserve">Nota</t>
  </si>
  <si>
    <t xml:space="preserve">Pedidos nuevos por dia hoy</t>
  </si>
  <si>
    <t xml:space="preserve">Sep-oct 2026: ~222 pedidos en 49 dias entre Shopify y YaVendio.</t>
  </si>
  <si>
    <t xml:space="preserve">Gasto Meta mensual hoy (S/)</t>
  </si>
  <si>
    <t xml:space="preserve">Sep-oct 2026: S/ 14.1k en 49 dias.</t>
  </si>
  <si>
    <t xml:space="preserve">Pedidos de base historica que generan recompra el primer año</t>
  </si>
  <si>
    <t xml:space="preserve">SUPUESTO: clientes anteriores que aun renuevan.</t>
  </si>
  <si>
    <t xml:space="preserve">Pedidos de Lima (% del total)</t>
  </si>
  <si>
    <t xml:space="preserve">Lima 80% de entrega y provincia con seña: el promedio de 85% implica ~25% provincia.</t>
  </si>
  <si>
    <t xml:space="preserve">Costos fijos al mes (S/)</t>
  </si>
  <si>
    <t xml:space="preserve">SUPUESTO: equipo, software, oficina. REEMPLAZAR con tus costos reales.</t>
  </si>
  <si>
    <t xml:space="preserve">Costo variable por pedido (S/)</t>
  </si>
  <si>
    <t xml:space="preserve">SUPUESTO: atencion al cliente, operaciones, facturacion.</t>
  </si>
  <si>
    <t xml:space="preserve">Meses de cobertura de inventario</t>
  </si>
  <si>
    <t xml:space="preserve">Tiempo de importacion: ~4.5 meses.</t>
  </si>
  <si>
    <t xml:space="preserve">Impuesto a la renta (0 = utilidad antes de impuestos)</t>
  </si>
  <si>
    <t xml:space="preserve">Confirmar con tu contador.</t>
  </si>
  <si>
    <t xml:space="preserve">Tipo de cambio</t>
  </si>
  <si>
    <t xml:space="preserve">Meta de utilidad anual (US$)</t>
  </si>
  <si>
    <t xml:space="preserve">Escenarios</t>
  </si>
  <si>
    <t xml:space="preserve">CAC inicial (S/ por pedido nuevo)</t>
  </si>
  <si>
    <t xml:space="preserve">Real: sep S/ 54, oct S/ 81, promedio S/ 64.</t>
  </si>
  <si>
    <t xml:space="preserve">Elasticidad del CAC al gasto</t>
  </si>
  <si>
    <t xml:space="preserve">Si el gasto se duplica, el CAC sube 2^e - 1 (e = 0.25: +19%). SUPUESTO clave.</t>
  </si>
  <si>
    <t xml:space="preserve">Crecimiento mensual del gasto en Meta</t>
  </si>
  <si>
    <t xml:space="preserve">Tope de gasto mensual (S/)</t>
  </si>
  <si>
    <t xml:space="preserve">Mejora mensual del CAC por optimizacion</t>
  </si>
  <si>
    <t xml:space="preserve">Mejores anuncios, seña, confirmacion de pedido.</t>
  </si>
  <si>
    <t xml:space="preserve">Tope de la mejora acumulada del CAC</t>
  </si>
  <si>
    <t xml:space="preserve">Pedidos organicos (% de los pagados)</t>
  </si>
  <si>
    <t xml:space="preserve">Referidos, busqueda, recontacto.</t>
  </si>
  <si>
    <t xml:space="preserve">Recompra (% de los pedidos nuevos de hace 12 meses)</t>
  </si>
  <si>
    <t xml:space="preserve">Repuestos de nucleo.</t>
  </si>
  <si>
    <t xml:space="preserve">Participacion del Cero en el mes 12 (% de pedidos)</t>
  </si>
  <si>
    <t xml:space="preserve">SUPUESTO: depende de poder vender un producto de S/ 2,299 en WhatsApp.</t>
  </si>
  <si>
    <t xml:space="preserve">Mejora de entrega en Lima a los 6 meses (puntos)</t>
  </si>
  <si>
    <t xml:space="preserve">Seña en Lima, confirmacion 24 h antes, The Hub.</t>
  </si>
  <si>
    <t xml:space="preserve">Utilidad antes de publicidad Lima (S/)</t>
  </si>
  <si>
    <t xml:space="preserve">Utilidad antes de publicidad provincia (S/)</t>
  </si>
  <si>
    <t xml:space="preserve">Utilidad mezclada (S/)</t>
  </si>
  <si>
    <t xml:space="preserve">Margen por pedido entregado en Lima (S/)</t>
  </si>
  <si>
    <t xml:space="preserve">Costo de producto por pedido (S/)</t>
  </si>
  <si>
    <t xml:space="preserve">Mezcla de pedidos: mes 1</t>
  </si>
  <si>
    <t xml:space="preserve">Mezcla de pedidos: mes 12</t>
  </si>
  <si>
    <t xml:space="preserve">Repuestos de caño por pedido</t>
  </si>
  <si>
    <t xml:space="preserve">Piezas Ritual por pedido</t>
  </si>
  <si>
    <t xml:space="preserve">Factor de CAC vs Nativo</t>
  </si>
  <si>
    <t xml:space="preserve">Utilidad despues de publicidad (S/)</t>
  </si>
  <si>
    <t xml:space="preserve">Retorno por S/ 1 de publicidad</t>
  </si>
  <si>
    <t xml:space="preserve">Nativo (mezcla de planes)</t>
  </si>
  <si>
    <t xml:space="preserve">Resto</t>
  </si>
  <si>
    <t xml:space="preserve">Vivo 3 años</t>
  </si>
  <si>
    <t xml:space="preserve">Segun escenario</t>
  </si>
  <si>
    <t xml:space="preserve">Ritual (venta aparte con publicidad)</t>
  </si>
  <si>
    <t xml:space="preserve">Repuesto Nativo (recompra)</t>
  </si>
  <si>
    <t xml:space="preserve">Recompra: sin CAC</t>
  </si>
  <si>
    <t xml:space="preserve">Nativo: mezcla de planes en cada pedido nuevo. Cero y bidones usan el margen de Lima en todo el pais. El Ritual y el bidon de 16 L no rinden si se venden con publicidad a este CAC; el Ritual entra como venta cruzada en el mismo envio.</t>
  </si>
  <si>
    <t xml:space="preserve">Mezcla de planes Nativo</t>
  </si>
  <si>
    <t xml:space="preserve">  Nativo 18 meses</t>
  </si>
  <si>
    <t xml:space="preserve">  Nativo 3 años</t>
  </si>
  <si>
    <t xml:space="preserve">  Nativo 6 años</t>
  </si>
  <si>
    <t xml:space="preserve">Venta cruzada de Ritual (% de pedidos nuevos): mes 1</t>
  </si>
  <si>
    <t xml:space="preserve">SUPUESTO. Ritual sin kit agregado a un pedido de Nativo: sin segundo envio ni segundo CAC.</t>
  </si>
  <si>
    <t xml:space="preserve">Venta cruzada de Ritual (% de pedidos nuevos): mes 12</t>
  </si>
  <si>
    <t xml:space="preserve">Utilidad por Ritual vendido en el mismo envio (S/)</t>
  </si>
  <si>
    <t xml:space="preserve">Margen entregado del Ritual (sin kit) x 85% de entrega.</t>
  </si>
  <si>
    <t xml:space="preserve">Calculo del CAC con datos reales (Shopify + YaVendio vs Meta Ads)</t>
  </si>
  <si>
    <t xml:space="preserve">Septiembre</t>
  </si>
  <si>
    <t xml:space="preserve">Octubre (1-19)</t>
  </si>
  <si>
    <t xml:space="preserve">Total</t>
  </si>
  <si>
    <t xml:space="preserve">Gasto Meta (US$)</t>
  </si>
  <si>
    <t xml:space="preserve">Gasto Meta (S/)</t>
  </si>
  <si>
    <t xml:space="preserve">Pedidos en Shopify (analitica de ventas)</t>
  </si>
  <si>
    <t xml:space="preserve">Pedidos en YaVendio (estimado por fechas)</t>
  </si>
  <si>
    <t xml:space="preserve">Pedidos brutos (Shopify + YaVendio)</t>
  </si>
  <si>
    <t xml:space="preserve">A descontar: reflejos de YaVendio en Shopify, pruebas y vencidos (estimado)</t>
  </si>
  <si>
    <t xml:space="preserve">Pedidos depurados</t>
  </si>
  <si>
    <t xml:space="preserve">Ventas realizadas (80% de los pedidos)</t>
  </si>
  <si>
    <t xml:space="preserve">CAC por pedido, bruto (S/)</t>
  </si>
  <si>
    <t xml:space="preserve">CAC por venta realizada, bruto (S/)</t>
  </si>
  <si>
    <t xml:space="preserve">CAC por pedido, depurado (S/)</t>
  </si>
  <si>
    <t xml:space="preserve">CAC por venta realizada, depurado (S/)</t>
  </si>
  <si>
    <t xml:space="preserve">El plan usa S/ 65 por pedido (punto medio entre el bruto y el depurado). Meta: cuenta 893663859368314. En Shopify, los pedidos con origen de la app de YaVendio son reflejos de pedidos de WhatsApp.</t>
  </si>
  <si>
    <t xml:space="preserve">Febrero-abril (solo bidones por WhatsApp): gasto US$ 4,149 y ~850 pedidos en YaVendio = unos S/ 21-23 por pedido, S/ 26-28 por venta realizada, con ticket de S/ 130-140.</t>
  </si>
  <si>
    <t xml:space="preserve">Plan a 24 meses - escenario Conservador</t>
  </si>
  <si>
    <t xml:space="preserve">Todo son formulas a partir de Plan_Supuestos y de las hojas de costos. Mes 1 = noviembre 2026.</t>
  </si>
  <si>
    <t xml:space="preserve">Mes #</t>
  </si>
  <si>
    <t xml:space="preserve">Mes</t>
  </si>
  <si>
    <t xml:space="preserve">Nov-26</t>
  </si>
  <si>
    <t xml:space="preserve">Dic-26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</si>
  <si>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</si>
  <si>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</si>
  <si>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</si>
  <si>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</si>
  <si>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</si>
  <si>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</si>
  <si>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</si>
  <si>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</si>
  <si>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</si>
  <si>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Oct-27</t>
  </si>
  <si>
    <t xml:space="preserve">Nov-27</t>
  </si>
  <si>
    <t xml:space="preserve">Dic-27</t>
  </si>
  <si>
    <t xml:space="preserve">Ene-28</t>
  </si>
  <si>
    <t xml:space="preserve">Feb-28</t>
  </si>
  <si>
    <t xml:space="preserve">Mar-28</t>
  </si>
  <si>
    <t xml:space="preserve">Abr-28</t>
  </si>
  <si>
    <t xml:space="preserve">May-28</t>
  </si>
  <si>
    <t xml:space="preserve">Jun-28</t>
  </si>
  <si>
    <t xml:space="preserve">Jul-28</t>
  </si>
  <si>
    <t xml:space="preserve">Ago-28</t>
  </si>
  <si>
    <t xml:space="preserve">Sep-28</t>
  </si>
  <si>
    <t xml:space="preserve">Oct-28</t>
  </si>
  <si>
    <t xml:space="preserve">Mejora de CAC acumulada</t>
  </si>
  <si>
    <t xml:space="preserve">CAC (S/ por pedido nuevo, segun mezcla)</t>
  </si>
  <si>
    <t xml:space="preserve">Pedidos pagados</t>
  </si>
  <si>
    <t xml:space="preserve">Pedidos organicos</t>
  </si>
  <si>
    <t xml:space="preserve">Pedidos nuevos</t>
  </si>
  <si>
    <t xml:space="preserve">Pedidos nuevos por dia</t>
  </si>
  <si>
    <t xml:space="preserve">Pedidos de recompra</t>
  </si>
  <si>
    <t xml:space="preserve">Pedidos totales</t>
  </si>
  <si>
    <t xml:space="preserve">Avance de la transicion de mezcla</t>
  </si>
  <si>
    <t xml:space="preserve">Mezcla: Nativo</t>
  </si>
  <si>
    <t xml:space="preserve">Mezcla: Vivo</t>
  </si>
  <si>
    <t xml:space="preserve">Mezcla: Bidon 22 L</t>
  </si>
  <si>
    <t xml:space="preserve">Mezcla: Bidon 16 L</t>
  </si>
  <si>
    <t xml:space="preserve">Mezcla: Cero</t>
  </si>
  <si>
    <t xml:space="preserve">Mezcla: Ritual (venta aparte)</t>
  </si>
  <si>
    <t xml:space="preserve">Utilidad por pedido nuevo antes de publicidad (S/)</t>
  </si>
  <si>
    <t xml:space="preserve">Mejora por entrega en Lima por pedido (S/)</t>
  </si>
  <si>
    <t xml:space="preserve">Utilidad pedidos nuevos antes de publicidad</t>
  </si>
  <si>
    <t xml:space="preserve">Utilidad recompra</t>
  </si>
  <si>
    <t xml:space="preserve">Gasto Meta</t>
  </si>
  <si>
    <t xml:space="preserve">Utilidad despues de publicidad</t>
  </si>
  <si>
    <t xml:space="preserve">Costos fijos y variables</t>
  </si>
  <si>
    <t xml:space="preserve">Utilidad antes de impuestos</t>
  </si>
  <si>
    <t xml:space="preserve">Impuesto</t>
  </si>
  <si>
    <t xml:space="preserve">UTILIDAD NETA DEL MES</t>
  </si>
  <si>
    <t xml:space="preserve">Utilidad acumulada</t>
  </si>
  <si>
    <t xml:space="preserve">Utilidad ultimos 12 meses</t>
  </si>
  <si>
    <t xml:space="preserve">Run-rate anual (mes x 12) (S/)</t>
  </si>
  <si>
    <t xml:space="preserve">Run-rate anual (US$)</t>
  </si>
  <si>
    <t xml:space="preserve">¿Run-rate supera la meta? (1 = si)</t>
  </si>
  <si>
    <t xml:space="preserve">Costo de producto del mes</t>
  </si>
  <si>
    <t xml:space="preserve">Inventario requerido</t>
  </si>
  <si>
    <t xml:space="preserve">Variacion de inventario</t>
  </si>
  <si>
    <t xml:space="preserve">Flujo de caja del mes</t>
  </si>
  <si>
    <t xml:space="preserve">Caja acumulada</t>
  </si>
  <si>
    <t xml:space="preserve">Unidades: purificadores Nativo + Vivo</t>
  </si>
  <si>
    <t xml:space="preserve">Unidades: repuestos de caño</t>
  </si>
  <si>
    <t xml:space="preserve">Unidades: Ritual (venta cruzada)</t>
  </si>
  <si>
    <t xml:space="preserve">Unidades: bidon 22 L</t>
  </si>
  <si>
    <t xml:space="preserve">Unidades: bidon 16 L</t>
  </si>
  <si>
    <t xml:space="preserve">Unidades: Cero</t>
  </si>
  <si>
    <t xml:space="preserve">Plan a 24 meses - escenario Base</t>
  </si>
  <si>
    <t xml:space="preserve">Plan a 24 meses - escenario Ambicioso</t>
  </si>
  <si>
    <t xml:space="preserve">Resumen - utilidad por pedido (S/)</t>
  </si>
  <si>
    <t xml:space="preserve">Todas las cifras vienen de la hoja Desglose; cambia los supuestos en la hoja Supuestos.</t>
  </si>
  <si>
    <t xml:space="preserve">Precio</t>
  </si>
  <si>
    <t xml:space="preserve">Utilidad antes de publicidad (Lima)</t>
  </si>
  <si>
    <t xml:space="preserve">Utilidad final (Lima)</t>
  </si>
  <si>
    <t xml:space="preserve">% del precio (Lima)</t>
  </si>
  <si>
    <t xml:space="preserve">Utilidad antes de publicidad (Provincia)</t>
  </si>
  <si>
    <t xml:space="preserve">Utilidad final (Provincia)</t>
  </si>
  <si>
    <t xml:space="preserve">% del precio (Provincia)</t>
  </si>
  <si>
    <t xml:space="preserve">Provincia: segun la celda de Supuestos (el cliente paga el envio = 1). Con 0 se muestra envio gratis con courier a cargo de elvo.</t>
  </si>
  <si>
    <t xml:space="preserve">Todos los precios incluyen IGV 18%. La utilidad es antes de costos fijos (equipo, software), almacen e impuesto a la renta.</t>
  </si>
  <si>
    <t xml:space="preserve">Supuestos - elvo· margen por producto</t>
  </si>
  <si>
    <t xml:space="preserve">Azul = dato que puedes cambiar. Verde = viene de otra hoja. Los precios de venta incluyen IGV.</t>
  </si>
  <si>
    <t xml:space="preserve">General</t>
  </si>
  <si>
    <t xml:space="preserve">IGV</t>
  </si>
  <si>
    <t xml:space="preserve">Tasa vigente. Venta neta = precio / (1 + IGV).</t>
  </si>
  <si>
    <t xml:space="preserve">Tipo de cambio (S/ por US$)</t>
  </si>
  <si>
    <t xml:space="preserve">Indicado por el usuario.</t>
  </si>
  <si>
    <t xml:space="preserve">Publicidad por pedido (CAC, S/)</t>
  </si>
  <si>
    <t xml:space="preserve">Real sep-oct 2026: gasto Meta S/ 14.1k / ~222 pedidos (Shopify + YaVendio) = S/ 64 (sep 54, oct 81). Corrige el S/ 31 inicial.</t>
  </si>
  <si>
    <t xml:space="preserve">Entrega efectiva en Lima</t>
  </si>
  <si>
    <t xml:space="preserve">Usuario: todos los pedidos de Lima son contraentrega y se entrega el 80%. (El 85% inicial era el promedio con provincia.)</t>
  </si>
  <si>
    <t xml:space="preserve">Entrega efectiva en provincia</t>
  </si>
  <si>
    <t xml:space="preserve">Con seña de S/ 50 la falla no genera perdida (usuario).</t>
  </si>
  <si>
    <t xml:space="preserve">Costos unitarios puestos en Lima (S/, ver hoja Costo_Lima)</t>
  </si>
  <si>
    <t xml:space="preserve">Purificador Nativo / Vivo</t>
  </si>
  <si>
    <t xml:space="preserve">Mismo costo para Nativo y Vivo (usuario).</t>
  </si>
  <si>
    <t xml:space="preserve">Repuesto (cartucho de caño)</t>
  </si>
  <si>
    <t xml:space="preserve">Pieza Ritual (filtro o kit)</t>
  </si>
  <si>
    <t xml:space="preserve">Repuesto Ritual = costo de un Ritual (usuario).</t>
  </si>
  <si>
    <t xml:space="preserve">Logistica (sin IGV)</t>
  </si>
  <si>
    <t xml:space="preserve">Empaque Lima (S/)</t>
  </si>
  <si>
    <t xml:space="preserve">Fulfillment Tecretail (usuario).</t>
  </si>
  <si>
    <t xml:space="preserve">Empaque provincia (S/)</t>
  </si>
  <si>
    <t xml:space="preserve">Courier Lima (S/)</t>
  </si>
  <si>
    <t xml:space="preserve">Promedio de S/ 10-15 (Dinsides dia siguiente); express S/ 15. Sin IGV.</t>
  </si>
  <si>
    <t xml:space="preserve">Courier provincia si lo pago yo (S/)</t>
  </si>
  <si>
    <t xml:space="preserve">Usuario: a veces cobran S/ 50, a veces 0. Ajustar.</t>
  </si>
  <si>
    <t xml:space="preserve">¿El cliente paga el envio en provincia? (1 = si, 0 = no)</t>
  </si>
  <si>
    <t xml:space="preserve">Cambiar a 0 para ver envio gratis.</t>
  </si>
  <si>
    <t xml:space="preserve">Comisiones de pago</t>
  </si>
  <si>
    <t xml:space="preserve">% pedidos en efectivo / Yape</t>
  </si>
  <si>
    <t xml:space="preserve">MEZCLA ILUSTRATIVA (supuesto). Reemplazar con datos reales.</t>
  </si>
  <si>
    <t xml:space="preserve">% pedidos con tarjeta en 1 pago</t>
  </si>
  <si>
    <t xml:space="preserve">MEZCLA ILUSTRATIVA.</t>
  </si>
  <si>
    <t xml:space="preserve">% pedidos en 3 cuotas</t>
  </si>
  <si>
    <t xml:space="preserve">% pedidos en 6 cuotas</t>
  </si>
  <si>
    <t xml:space="preserve">Tasa tarjeta 1 pago</t>
  </si>
  <si>
    <t xml:space="preserve">Usuario: 3.49% + S/ 1.</t>
  </si>
  <si>
    <t xml:space="preserve">Tasa 3 cuotas</t>
  </si>
  <si>
    <t xml:space="preserve">Usuario: 6.48% + S/ 1.</t>
  </si>
  <si>
    <t xml:space="preserve">Tasa 6 cuotas</t>
  </si>
  <si>
    <t xml:space="preserve">Usuario: 8.98% + S/ 1.</t>
  </si>
  <si>
    <t xml:space="preserve">Fijo por transaccion con tarjeta (S/)</t>
  </si>
  <si>
    <t xml:space="preserve">Usuario.</t>
  </si>
  <si>
    <t xml:space="preserve">Comision % ponderada</t>
  </si>
  <si>
    <t xml:space="preserve">Comision fija ponderada (S/)</t>
  </si>
  <si>
    <t xml:space="preserve">Control: la mezcla debe sumar 100%</t>
  </si>
  <si>
    <t xml:space="preserve">Almacen (Tecretail)</t>
  </si>
  <si>
    <t xml:space="preserve">Almacen mensual (S/)</t>
  </si>
  <si>
    <t xml:space="preserve">Pedidos al mes para prorratear</t>
  </si>
  <si>
    <t xml:space="preserve">Supuesto. Cambiar segun ventas.</t>
  </si>
  <si>
    <t xml:space="preserve">Almacen por pedido (S/)</t>
  </si>
  <si>
    <t xml:space="preserve">Desglose desde el precio de venta, por pedido colocado (S/)</t>
  </si>
  <si>
    <t xml:space="preserve">Azul = entradas por producto (editables). Todo lo demas son formulas conectadas a Supuestos.</t>
  </si>
  <si>
    <t xml:space="preserve">Nativo 18 meses</t>
  </si>
  <si>
    <t xml:space="preserve">Nativo 3 años</t>
  </si>
  <si>
    <t xml:space="preserve">Nativo 6 años</t>
  </si>
  <si>
    <t xml:space="preserve">Vivo 18 meses</t>
  </si>
  <si>
    <t xml:space="preserve">Vivo 6 años</t>
  </si>
  <si>
    <t xml:space="preserve">Ritual 1 filtro sin kit</t>
  </si>
  <si>
    <t xml:space="preserve">Ritual 1 filtro con kit</t>
  </si>
  <si>
    <t xml:space="preserve">Ritual Dúo con kit</t>
  </si>
  <si>
    <t xml:space="preserve">Ritual Familia con kit</t>
  </si>
  <si>
    <t xml:space="preserve">Repuesto Nativo</t>
  </si>
  <si>
    <t xml:space="preserve">Repuesto Vivo</t>
  </si>
  <si>
    <t xml:space="preserve">Repuesto Ritual</t>
  </si>
  <si>
    <t xml:space="preserve">Precio de venta (incluye IGV)</t>
  </si>
  <si>
    <t xml:space="preserve">Purificadores por pedido</t>
  </si>
  <si>
    <t xml:space="preserve">Piezas Ritual por pedido (filtro o kit)</t>
  </si>
  <si>
    <t xml:space="preserve">¿Lleva publicidad? (1 = si, 0 = no)</t>
  </si>
  <si>
    <t xml:space="preserve">LIMA (85% de entrega)</t>
  </si>
  <si>
    <t xml:space="preserve">Precio de venta</t>
  </si>
  <si>
    <t xml:space="preserve">Venta neta</t>
  </si>
  <si>
    <t xml:space="preserve">Comision de pago</t>
  </si>
  <si>
    <t xml:space="preserve">Empaque</t>
  </si>
  <si>
    <t xml:space="preserve">Courier</t>
  </si>
  <si>
    <t xml:space="preserve">Margen si se entrega</t>
  </si>
  <si>
    <t xml:space="preserve">Entregas fallidas</t>
  </si>
  <si>
    <t xml:space="preserve">Utilidad antes de publicidad</t>
  </si>
  <si>
    <t xml:space="preserve">Publicidad (CAC)</t>
  </si>
  <si>
    <t xml:space="preserve">Utilidad final</t>
  </si>
  <si>
    <t xml:space="preserve">% del precio</t>
  </si>
  <si>
    <t xml:space="preserve">Almacen prorrateado</t>
  </si>
  <si>
    <t xml:space="preserve">Utilidad final tras almacen</t>
  </si>
  <si>
    <t xml:space="preserve">PROVINCIA (seña de S/ 50)</t>
  </si>
  <si>
    <t xml:space="preserve">Empaque provincia</t>
  </si>
  <si>
    <t xml:space="preserve">Courier a mi cargo</t>
  </si>
  <si>
    <t xml:space="preserve">Notas: las entregas fallidas restan la utilidad que no se cobra (se paga empaque y courier igual). En repuestos no se aplica publicidad (recompra por WhatsApp). Ritual "con kit" = filtro + kit de repuesto incluido.</t>
  </si>
  <si>
    <t xml:space="preserve">Excluye: PureCore / nucleo de magnesio si es otra compra, tarifa de almacen de puerto pendiente, comisiones bancarias, costos fijos de equipo e impuesto a la renta.</t>
  </si>
  <si>
    <t xml:space="preserve">Contenedor 2 - bidones 22 L / 16 L, kit 3 en 1 y elvo· Cero (R260) - B/L COSU6464399990, 40HQ, llega a Chancay el 25-oct-2026</t>
  </si>
  <si>
    <t xml:space="preserve">Azul = dato de los documentos o supuesto editable. Negro = formula. Verde = viene de otra hoja. Lo marcado ESTIMADO sale del embarque anterior, no de un documento de este contenedor.</t>
  </si>
  <si>
    <t xml:space="preserve">Unidades</t>
  </si>
  <si>
    <t xml:space="preserve">FOB unitario (US$)</t>
  </si>
  <si>
    <t xml:space="preserve">FOB total (US$)</t>
  </si>
  <si>
    <t xml:space="preserve">Volumen (CBM)</t>
  </si>
  <si>
    <t xml:space="preserve">% del volumen</t>
  </si>
  <si>
    <t xml:space="preserve">% del valor</t>
  </si>
  <si>
    <t xml:space="preserve">Bidon purificador 22 L</t>
  </si>
  <si>
    <t xml:space="preserve">Bidon purificador 16 L</t>
  </si>
  <si>
    <t xml:space="preserve">Kit de filtros 3 en 1</t>
  </si>
  <si>
    <t xml:space="preserve">elvo· Cero R260 (100 maquinas + 20 filtros + entrega a Ningbo)</t>
  </si>
  <si>
    <t xml:space="preserve">Fuentes: factura DK-GV-2026-01 (Ningbo Dukang, 1-jun-2026) y packing list; proforma 10062026356AVR260W (Suzhou Beiang, 10-jun-2026, EXW). CBM de Cero = CBM total del B/L menos los CBM del packing list (101 cartones, ~1,014 kg).</t>
  </si>
  <si>
    <t xml:space="preserve">Detalle elvo· Cero (Suzhou Beiang) - pago 30% anticipo / 70% antes de embarque</t>
  </si>
  <si>
    <t xml:space="preserve">Concepto</t>
  </si>
  <si>
    <t xml:space="preserve">Cantidad</t>
  </si>
  <si>
    <t xml:space="preserve">Precio (US$)</t>
  </si>
  <si>
    <t xml:space="preserve">Total (US$)</t>
  </si>
  <si>
    <t xml:space="preserve">Maquinas R260 (agua fria y caliente, osmosis inversa, UV)</t>
  </si>
  <si>
    <t xml:space="preserve">Filtro ROC de repuesto</t>
  </si>
  <si>
    <t xml:space="preserve">Filtro PAC de repuesto</t>
  </si>
  <si>
    <t xml:space="preserve">Entrega a Ningbo (monto unico)</t>
  </si>
  <si>
    <t xml:space="preserve">Total Cero</t>
  </si>
  <si>
    <t xml:space="preserve">Volumen y flete (B/L: flete collect, se paga en destino)</t>
  </si>
  <si>
    <t xml:space="preserve">Volumen total del B/L (CBM)</t>
  </si>
  <si>
    <t xml:space="preserve">Flete maritimo (US$)</t>
  </si>
  <si>
    <t xml:space="preserve">Fuel Adjustment Factor (US$)</t>
  </si>
  <si>
    <t xml:space="preserve">ISPS (US$)</t>
  </si>
  <si>
    <t xml:space="preserve">THC en destino (US$)</t>
  </si>
  <si>
    <t xml:space="preserve">Total flete collect (US$)</t>
  </si>
  <si>
    <t xml:space="preserve">Visto bueno de importacion Callao-Chancay (US$, sin IGV)</t>
  </si>
  <si>
    <t xml:space="preserve">SAC (US$, sin IGV)</t>
  </si>
  <si>
    <t xml:space="preserve">Otros gastos locales ESTIMADOS (US$, con IGV)</t>
  </si>
  <si>
    <t xml:space="preserve">Suma de agenciamiento, transmision, handling, documentacion, descarga y gastos admin. de la factura Inca Lines del embarque anterior. Contenedor completo puede variar.</t>
  </si>
  <si>
    <t xml:space="preserve">Seguro nocional (% del FOB)</t>
  </si>
  <si>
    <t xml:space="preserve">Mismo % que la proforma de aduana anterior (US$ 74.50 sobre FOB 7,450). Es base de impuestos, no un pago.</t>
  </si>
  <si>
    <t xml:space="preserve">Impuestos de aduana - ratios del embarque anterior (proforma 026/0000257)</t>
  </si>
  <si>
    <t xml:space="preserve">CIF anterior (US$)</t>
  </si>
  <si>
    <t xml:space="preserve">Tipo de cambio de aduana anterior</t>
  </si>
  <si>
    <t xml:space="preserve">IGV anterior (S/)</t>
  </si>
  <si>
    <t xml:space="preserve">IPM anterior (S/)</t>
  </si>
  <si>
    <t xml:space="preserve">Percepcion anterior (S/)</t>
  </si>
  <si>
    <t xml:space="preserve">IGV + IPM como % del CIF</t>
  </si>
  <si>
    <t xml:space="preserve">Percepcion como % del CIF</t>
  </si>
  <si>
    <t xml:space="preserve">Arancel ad valorem (SUPUESTO)</t>
  </si>
  <si>
    <t xml:space="preserve">El embarque anterior pago 0%. Confirmar la partida arancelaria del Cero y de los bidones con el agente antes de nacionalizar.</t>
  </si>
  <si>
    <t xml:space="preserve">Agente de aduana y transporte local - ESTIMADO (S/, sin IGV)</t>
  </si>
  <si>
    <t xml:space="preserve">Comision del agente</t>
  </si>
  <si>
    <t xml:space="preserve">Anterior: S/ 900 sobre CIF de US$ 8.2k; este CIF es ~5 veces mayor.</t>
  </si>
  <si>
    <t xml:space="preserve">Documentos de aduana</t>
  </si>
  <si>
    <t xml:space="preserve">Igual que el embarque anterior.</t>
  </si>
  <si>
    <t xml:space="preserve">Regularizacion SADA</t>
  </si>
  <si>
    <t xml:space="preserve">Camion de contenedor Chancay - San Borja</t>
  </si>
  <si>
    <t xml:space="preserve">Anterior: S/ 620 en carga LCL. Un 40HQ completo cuesta mas; pedir cotizacion.</t>
  </si>
  <si>
    <t xml:space="preserve">IGV del agente (S/)</t>
  </si>
  <si>
    <t xml:space="preserve">Resultado del contenedor</t>
  </si>
  <si>
    <t xml:space="preserve">Seguro nocional (US$)</t>
  </si>
  <si>
    <t xml:space="preserve">CIF (US$)</t>
  </si>
  <si>
    <t xml:space="preserve">CIF (S/)</t>
  </si>
  <si>
    <t xml:space="preserve">Arancel (S/)</t>
  </si>
  <si>
    <t xml:space="preserve">IGV + IPM (S/)</t>
  </si>
  <si>
    <t xml:space="preserve">Percepcion (S/)</t>
  </si>
  <si>
    <t xml:space="preserve">Impuestos de aduana (S/)</t>
  </si>
  <si>
    <t xml:space="preserve">Proveedores (S/)</t>
  </si>
  <si>
    <t xml:space="preserve">Flete collect (S/)</t>
  </si>
  <si>
    <t xml:space="preserve">Visto bueno + SAC con IGV (S/)</t>
  </si>
  <si>
    <t xml:space="preserve">Otros gastos locales (S/)</t>
  </si>
  <si>
    <t xml:space="preserve">Agente con IGV (S/)</t>
  </si>
  <si>
    <t xml:space="preserve">TOTAL DESEMBOLSADO (S/)</t>
  </si>
  <si>
    <t xml:space="preserve">IGV recuperable (S/)</t>
  </si>
  <si>
    <t xml:space="preserve">COSTO REAL PUESTO EN LIMA (S/)</t>
  </si>
  <si>
    <t xml:space="preserve">Costo real (US$)</t>
  </si>
  <si>
    <t xml:space="preserve">Pendiente de pagar: todo menos proveedores (S/)</t>
  </si>
  <si>
    <t xml:space="preserve">Se asume que los dos proveedores ya estan pagados. Flete collect y visto bueno se pagan antes de retirar el contenedor.</t>
  </si>
  <si>
    <t xml:space="preserve">Costo unitario puesto en Lima</t>
  </si>
  <si>
    <t xml:space="preserve">Costo neto asignado (S/)</t>
  </si>
  <si>
    <t xml:space="preserve">COSTO UNITARIO neto de IGV recuperable (S/)</t>
  </si>
  <si>
    <t xml:space="preserve">Costo unitario si NO recuperas IGV (S/)</t>
  </si>
  <si>
    <t xml:space="preserve">Costo unitario que se usa (S/)</t>
  </si>
  <si>
    <t xml:space="preserve">control: debe ser 0</t>
  </si>
  <si>
    <t xml:space="preserve">Reparto: mercaderia directa; flete, gastos locales y agente por volumen (CBM); arancel e impuestos por valor.</t>
  </si>
  <si>
    <t xml:space="preserve">Margen por pedido en Lima (S/) con precios RECOMENDADOS - courier de bultos grandes probablemente mayor</t>
  </si>
  <si>
    <t xml:space="preserve">Kit 3 en 1</t>
  </si>
  <si>
    <t xml:space="preserve">Precio de venta (con IGV) - recomendado</t>
  </si>
  <si>
    <t xml:space="preserve">Provision de garantia</t>
  </si>
  <si>
    <t xml:space="preserve">Publicidad</t>
  </si>
  <si>
    <t xml:space="preserve">Entrada: provision de garantia (% del precio)</t>
  </si>
  <si>
    <t xml:space="preserve">Factor de CAC vs Nativo (0 = sin publicidad; viene de Plan_Supuestos)</t>
  </si>
  <si>
    <t xml:space="preserve">Precios recomendados: bidon 22 L S/ 219, bidon 16 L S/ 159, kit S/ 85, Cero S/ 2,299. Referencias (Sodimac Peru, busqueda oct-2026): bidon mineralizador 16 L S/ 159.90 (lista S/ 249); repuestos de filtro S/ 72.90-84.90; osmosis inversa bajo mesada de 5 etapas en Falabella Peru S/ 1,090-1,499.</t>
  </si>
  <si>
    <t xml:space="preserve">Garantia del Cero: 12 meses; provision de 4% del precio (~S/ 92) como SUGERENCIA, sin dato historico propio. No incluye courier de bultos grandes.</t>
  </si>
  <si>
    <t xml:space="preserve">The Hub vs operacion actual - pedidos en Lima, todos contraentrega</t>
  </si>
  <si>
    <t xml:space="preserve">Azul = dato editable. Verde = viene de otra hoja. Fuentes: proforma The Hub 21-abr-2026, Anexo 3 de tarifas y respuestas de The Hub por WhatsApp (19-oct-2026). Sin IGV.</t>
  </si>
  <si>
    <t xml:space="preserve">Operacion actual (empaque + courier + almacen)</t>
  </si>
  <si>
    <t xml:space="preserve">Almacen prorrateado por pedido (S/)</t>
  </si>
  <si>
    <t xml:space="preserve">Entrega efectiva actual en Lima</t>
  </si>
  <si>
    <t xml:space="preserve">The Hub (Business Standard) - condiciones confirmadas</t>
  </si>
  <si>
    <t xml:space="preserve">Gestion por orden (S/)</t>
  </si>
  <si>
    <t xml:space="preserve">Proforma.</t>
  </si>
  <si>
    <t xml:space="preserve">Envio estandar Lima, tarifa ponderada hasta 3 kg (S/)</t>
  </si>
  <si>
    <t xml:space="preserve">The Hub: la tarifa urbana subio a S/ 8.00; mixtos casi siempre urbano; periferico 9.50; periferico 2: 10.50. 8.75 = ponderacion ESTIMADA con una muestra de 9 pedidos.</t>
  </si>
  <si>
    <t xml:space="preserve">Kg adicional sobre 3 kg (S/)</t>
  </si>
  <si>
    <t xml:space="preserve">Urbano 1.5, periferico 2.0. Peso facturable = largo x alto x ancho / 5000.</t>
  </si>
  <si>
    <t xml:space="preserve">Cobro contraentrega en efectivo o tarjeta (% del valor)</t>
  </si>
  <si>
    <t xml:space="preserve">The Hub: 4.5% en efectivo o tarjeta; no lo bajan. Solo se cobra cuando cobran. El POS permite cuotas pero NO cuotas sin intereses.</t>
  </si>
  <si>
    <t xml:space="preserve">Cobro contraentrega en billeteras (Yape/Plin)</t>
  </si>
  <si>
    <t xml:space="preserve">The Hub: pueden bajarlo a 2.5%.</t>
  </si>
  <si>
    <t xml:space="preserve">% de clientes que pagan con billetera al recibir</t>
  </si>
  <si>
    <t xml:space="preserve">SUPUESTO ilustrativo. Reemplazar con datos reales.</t>
  </si>
  <si>
    <t xml:space="preserve">Retorno por pedido no entregado (S/)</t>
  </si>
  <si>
    <t xml:space="preserve">Hay un reintento gratis; el retorno al almacen cuesta S/ 1. Reenviar vuelve a cobrar el envio.</t>
  </si>
  <si>
    <t xml:space="preserve">¿El cobro de The Hub incluye la comision de tarjeta? (1 = si, 0 = no)</t>
  </si>
  <si>
    <t xml:space="preserve">CONFIRMADO por The Hub: el 4.5% incluye la tarjeta.</t>
  </si>
  <si>
    <t xml:space="preserve">Almacen (US$ por m3 al mes)</t>
  </si>
  <si>
    <t xml:space="preserve">Confirmado: es mensual.</t>
  </si>
  <si>
    <t xml:space="preserve">Meses que el stock permanece en The Hub</t>
  </si>
  <si>
    <t xml:space="preserve">El resto queda en almacen propio y se envia por tandas.</t>
  </si>
  <si>
    <t xml:space="preserve">Entrega efectiva con The Hub en Lima</t>
  </si>
  <si>
    <t xml:space="preserve">Igual a la actual para comparar costos. Cambiar para probar un alza (el reintento gratis podria subirla).</t>
  </si>
  <si>
    <t xml:space="preserve">Recepcion de mercaderia: costo por hora-hombre (S/)</t>
  </si>
  <si>
    <t xml:space="preserve">The Hub: S/ 114 por hora-hombre.</t>
  </si>
  <si>
    <t xml:space="preserve">Cartones descargados por hora-hombre</t>
  </si>
  <si>
    <t xml:space="preserve">ESTIMACION mia (cartones de ~20 kg a mano, incluye conteo y acomodo). Paletizado seria mucho mas rapido. Pedir dato real.</t>
  </si>
  <si>
    <t xml:space="preserve">Pedidos al mes que pasarian por The Hub</t>
  </si>
  <si>
    <t xml:space="preserve">SUPUESTO. Ajustar a tu volumen en Lima.</t>
  </si>
  <si>
    <t xml:space="preserve">Minimo de pedidos al mes (se paga el empaque faltante)</t>
  </si>
  <si>
    <t xml:space="preserve">The Hub: si no se llega a 150, se paga el empaque que falta.</t>
  </si>
  <si>
    <t xml:space="preserve">Cobro contraentrega promedio (% del valor)</t>
  </si>
  <si>
    <t xml:space="preserve">Gestion efectiva por pedido (S/), con el minimo</t>
  </si>
  <si>
    <t xml:space="preserve">Comparacion por pedido colocado en Lima (S/)</t>
  </si>
  <si>
    <t xml:space="preserve">Precio de venta (con IGV)</t>
  </si>
  <si>
    <t xml:space="preserve">Margen por pedido entregado, antes de logistica</t>
  </si>
  <si>
    <t xml:space="preserve">  incluye comision de pago (S/, negativa)</t>
  </si>
  <si>
    <t xml:space="preserve">Volumen por unidad (m3)</t>
  </si>
  <si>
    <t xml:space="preserve">Peso facturable (kg)</t>
  </si>
  <si>
    <t xml:space="preserve">Unidades por carton</t>
  </si>
  <si>
    <t xml:space="preserve">ACTUAL: logistica por pedido colocado</t>
  </si>
  <si>
    <t xml:space="preserve">ACTUAL: utilidad antes de publicidad</t>
  </si>
  <si>
    <t xml:space="preserve">HUB: gestion (con minimo) + envio</t>
  </si>
  <si>
    <t xml:space="preserve">HUB: cobro contraentrega esperado</t>
  </si>
  <si>
    <t xml:space="preserve">HUB: retorno de no entregados</t>
  </si>
  <si>
    <t xml:space="preserve">HUB: almacen</t>
  </si>
  <si>
    <t xml:space="preserve">HUB: recepcion de mercaderia por unidad</t>
  </si>
  <si>
    <t xml:space="preserve">HUB: transporte de tu almacen a The Hub por pedido</t>
  </si>
  <si>
    <t xml:space="preserve">HUB: logistica por pedido colocado</t>
  </si>
  <si>
    <t xml:space="preserve">HUB: margen por pedido entregado (sin la comision de tarjeta, que incluye el cobro)</t>
  </si>
  <si>
    <t xml:space="preserve">HUB: utilidad antes de publicidad</t>
  </si>
  <si>
    <t xml:space="preserve">Diferencia Hub - actual (utilidad por pedido)</t>
  </si>
  <si>
    <t xml:space="preserve">Alza de entrega que iguala (puntos)</t>
  </si>
  <si>
    <t xml:space="preserve">Cobro contraentrega promedio que iguala (% del valor)</t>
  </si>
  <si>
    <t xml:space="preserve">Sensibilidad: diferencia Hub - actual por pedido de Nativo 3 años segun pedidos al mes (por el minimo de 150)</t>
  </si>
  <si>
    <t xml:space="preserve">Pedidos al mes en The Hub</t>
  </si>
  <si>
    <t xml:space="preserve">Diferencia por pedido (S/)</t>
  </si>
  <si>
    <t xml:space="preserve">Lectura: diferencia negativa = The Hub cuesta mas a igual tasa de entrega. "Alza de entrega" = puntos que debe mejorar para compensar. Ultima fila de la tabla = cobro contraentrega promedio con el que quedas igual.</t>
  </si>
  <si>
    <t xml:space="preserve">Condiciones de The Hub: el POS NO hace cuotas sin intereses; en provincia NO hay contraentrega (se maneja por agencias); el seguro en ruta es de S/ 300 por ruta y el del Cero depende de la agencia.</t>
  </si>
  <si>
    <t xml:space="preserve">No incluye: beneficio tributario de la factura de The Hub (IGV y gasto deducible) (el transporte desde tu almacen a The Hub viene de la hoja Stock_Hub). Para bidones y Cero el courier actual (S/ 12.5) es solo una referencia.</t>
  </si>
  <si>
    <t xml:space="preserve">Dinsides (almacen + despacho) vs operacion actual vs The Hub - Lima, contraentrega</t>
  </si>
  <si>
    <t xml:space="preserve">Fuente: brochure de fulfillment de Dinsides. El brochure NO trae tarifas de envio ni cobro por contraentrega: se usa el courier actual de S/ 10-15. Azul/amarillo = supuesto o dato pendiente.</t>
  </si>
  <si>
    <t xml:space="preserve">Condiciones de Dinsides</t>
  </si>
  <si>
    <t xml:space="preserve">Courier Lima por pedido (S/)</t>
  </si>
  <si>
    <t xml:space="preserve">Dinsides al dia siguiente: S/ 10-15 (dato del usuario).</t>
  </si>
  <si>
    <t xml:space="preserve">Material de empaque por pedido (S/)</t>
  </si>
  <si>
    <t xml:space="preserve">SUPUESTO: Dinsides exige que el cliente provea bolsas, cajas y film.</t>
  </si>
  <si>
    <t xml:space="preserve">Costo por pedido armado y no entregado (S/)</t>
  </si>
  <si>
    <t xml:space="preserve">Brochure.</t>
  </si>
  <si>
    <t xml:space="preserve">Almacenaje y armado de pedidos (S/ por pedido)</t>
  </si>
  <si>
    <t xml:space="preserve">Brochure: almacenaje sin costo adicional.</t>
  </si>
  <si>
    <t xml:space="preserve">Cobro contraentrega de Dinsides (% del valor)</t>
  </si>
  <si>
    <t xml:space="preserve">PENDIENTE: el brochure no lo menciona. Confirmar efectivo, POS y cuotas.</t>
  </si>
  <si>
    <t xml:space="preserve">Entrega efectiva con Dinsides</t>
  </si>
  <si>
    <t xml:space="preserve">Igual a la actual para comparar costos.</t>
  </si>
  <si>
    <t xml:space="preserve">Pedidos al mes en Lima</t>
  </si>
  <si>
    <t xml:space="preserve">Viene de Courier_Hub.</t>
  </si>
  <si>
    <t xml:space="preserve">Entregas por semana</t>
  </si>
  <si>
    <t xml:space="preserve">Minimo de entregas por semana</t>
  </si>
  <si>
    <t xml:space="preserve">Penalidad por no cumplir el minimo (S/ por dia)</t>
  </si>
  <si>
    <t xml:space="preserve">Brochure. Se asume que se cobra todos los dias del mes si no se cumple.</t>
  </si>
  <si>
    <t xml:space="preserve">Penalidad por pedido (S/)</t>
  </si>
  <si>
    <t xml:space="preserve">SUPUESTO: igual que The Hub, por falta de tarifa de Dinsides para bultos grandes.</t>
  </si>
  <si>
    <t xml:space="preserve">ACTUAL (Tecretail + courier): utilidad antes de publicidad</t>
  </si>
  <si>
    <t xml:space="preserve">DINSIDES: courier</t>
  </si>
  <si>
    <t xml:space="preserve">DINSIDES: material de empaque</t>
  </si>
  <si>
    <t xml:space="preserve">DINSIDES: pedidos armados y no entregados</t>
  </si>
  <si>
    <t xml:space="preserve">DINSIDES: penalidad por el minimo semanal</t>
  </si>
  <si>
    <t xml:space="preserve">DINSIDES: cobro contraentrega</t>
  </si>
  <si>
    <t xml:space="preserve">DINSIDES: logistica por pedido colocado</t>
  </si>
  <si>
    <t xml:space="preserve">DINSIDES: utilidad antes de publicidad</t>
  </si>
  <si>
    <t xml:space="preserve">THE HUB: utilidad antes de publicidad</t>
  </si>
  <si>
    <t xml:space="preserve">Dinsides - actual (utilidad por pedido)</t>
  </si>
  <si>
    <t xml:space="preserve">Dinsides - The Hub (utilidad por pedido)</t>
  </si>
  <si>
    <t xml:space="preserve">Puntos de entrega que The Hub debe ganar para igualar a Dinsides</t>
  </si>
  <si>
    <t xml:space="preserve">Ahorro mensual de Dinsides segun volumen (Nativo 3 años, S/)</t>
  </si>
  <si>
    <t xml:space="preserve">Dinsides vs operacion actual (S/ al mes)</t>
  </si>
  <si>
    <t xml:space="preserve">Dinsides vs The Hub (S/ al mes)</t>
  </si>
  <si>
    <t xml:space="preserve">Lectura: el brochure incluye almacen, armado, rotulado, seguro por robo y perdida, control de inventario 3 veces por semana y punto de recojo en su almacen. No incluye materiales de empaque.</t>
  </si>
  <si>
    <t xml:space="preserve">El ahorro es de costo, no de entrega efectiva: si Dinsides entrega igual que hoy (80%), el ahorro es el de la fila 30. Por eso pedir su tasa de entrega por distrito antes de decidir.</t>
  </si>
  <si>
    <t xml:space="preserve">En el brochure los S/ 2.00 por pedido armado y no entregado reemplazan al costo de gestion; no hay cobro por almacenaje. Confirmar si ese cobro de S/ 2.00 es adicional al reintento o a la devolucion.</t>
  </si>
  <si>
    <t xml:space="preserve">Plan de stock en The Hub: tandas desde tu almacen propio</t>
  </si>
  <si>
    <t xml:space="preserve">Idea: dejar en The Hub solo lo que se vende en unas dos semanas y reponer por tandas. Azul = supuesto editable (la mezcla de pedidos es ilustrativa).</t>
  </si>
  <si>
    <t xml:space="preserve">Pedidos por dia en Lima que pasan por The Hub</t>
  </si>
  <si>
    <t xml:space="preserve">Viene de Courier_Hub (pedidos al mes / 30). 150 pedidos al mes = minimo de The Hub.</t>
  </si>
  <si>
    <t xml:space="preserve">Dias de venta que cubre cada tanda</t>
  </si>
  <si>
    <t xml:space="preserve">Tandas mensuales: el almacen es barato (US$ 20 por m3) y cada viaje tiene costo fijo.</t>
  </si>
  <si>
    <t xml:space="preserve">Dias de stock de seguridad en The Hub</t>
  </si>
  <si>
    <t xml:space="preserve">Horas minimas facturables por recepcion</t>
  </si>
  <si>
    <t xml:space="preserve">SUPUESTO: se asume 1 hora como minimo.</t>
  </si>
  <si>
    <t xml:space="preserve">Transporte de tu almacen a The Hub, por tanda (S/)</t>
  </si>
  <si>
    <t xml:space="preserve">SUPUESTO. El anexo de tarifas trae S/ 200 por pallet para envios a CD / reposicion; confirmar si es esto.</t>
  </si>
  <si>
    <t xml:space="preserve">Costo por hora-hombre (S/)</t>
  </si>
  <si>
    <t xml:space="preserve">% de pedidos</t>
  </si>
  <si>
    <t xml:space="preserve">Unidades por tanda</t>
  </si>
  <si>
    <t xml:space="preserve">Cartones por tanda</t>
  </si>
  <si>
    <t xml:space="preserve">m3 por unidad</t>
  </si>
  <si>
    <t xml:space="preserve">m3 ocupados</t>
  </si>
  <si>
    <t xml:space="preserve">Nativo</t>
  </si>
  <si>
    <t xml:space="preserve">Vivo</t>
  </si>
  <si>
    <t xml:space="preserve">Costo mensual de tener stock en The Hub (S/)</t>
  </si>
  <si>
    <t xml:space="preserve">Horas de recepcion por tanda</t>
  </si>
  <si>
    <t xml:space="preserve">Costo de recepcion por tanda</t>
  </si>
  <si>
    <t xml:space="preserve">Tandas por mes</t>
  </si>
  <si>
    <t xml:space="preserve">Recepcion al mes</t>
  </si>
  <si>
    <t xml:space="preserve">Transporte al mes</t>
  </si>
  <si>
    <t xml:space="preserve">Almacen al mes (m3 ocupados al maximo)</t>
  </si>
  <si>
    <t xml:space="preserve">Total almacen + recepcion + transporte</t>
  </si>
  <si>
    <t xml:space="preserve">Pedidos al mes</t>
  </si>
  <si>
    <t xml:space="preserve">Gestion facturable al mes (con minimo)</t>
  </si>
  <si>
    <t xml:space="preserve">Costo por pedido en The Hub (sin envio ni cobro)</t>
  </si>
  <si>
    <t xml:space="preserve">Costo por pedido actual (empaque + almacen Tecretail)</t>
  </si>
  <si>
    <t xml:space="preserve">Diferencia por pedido (Hub - actual)</t>
  </si>
  <si>
    <t xml:space="preserve">Estimacion por tanda: sirve para ver el orden de magnitud. Las horas de descarga son estimadas (30 cartones por hora-hombre); si mandas en pallets, bajan mucho. El costo por pedido actual usa el empaque y el almacen de Tecretail de la hoja Supuestos.</t>
  </si>
  <si>
    <t xml:space="preserve">Costo puesto en Lima - embarque Ningbo (llegada 22-abr-2026)</t>
  </si>
  <si>
    <t xml:space="preserve">Azul = dato de los documentos (proforma, factura Inca Lines, proforma aduana). Negro = formula. Tipo de cambio viene de la hoja Supuestos.</t>
  </si>
  <si>
    <t xml:space="preserve">Filtro de caño NW-TR201-W (carcasa + cartucho CTO-10B + grifo)</t>
  </si>
  <si>
    <t xml:space="preserve">Repuesto de caño CTO-10B</t>
  </si>
  <si>
    <t xml:space="preserve">Filtro de ducha NW-BS2</t>
  </si>
  <si>
    <t xml:space="preserve">Pallets</t>
  </si>
  <si>
    <t xml:space="preserve">Flete maritimo Ningbo-Callao (prepaid)</t>
  </si>
  <si>
    <t xml:space="preserve">Total proveedor (CFR Callao)</t>
  </si>
  <si>
    <t xml:space="preserve">Fuente: Proforma Invoice CXY251121 (Yuyao Yadong), 21-nov-2025.</t>
  </si>
  <si>
    <t xml:space="preserve">Otros gastos del embarque</t>
  </si>
  <si>
    <t xml:space="preserve">Inca Lines: total gastos de destino (US$, incl. CAF 250 + factura 885.87)</t>
  </si>
  <si>
    <t xml:space="preserve">  del cual IGV de la factura Inca Lines (US$)</t>
  </si>
  <si>
    <t xml:space="preserve">Agencia de aduana: comision + servicios, base sin IGV (S/)</t>
  </si>
  <si>
    <t xml:space="preserve">Agencia de aduana: IGV sobre servicios (S/)</t>
  </si>
  <si>
    <t xml:space="preserve">Aduana: IGV + IPM + percepcion (S/); arancel 0%</t>
  </si>
  <si>
    <t xml:space="preserve">Recuperas el IGV como credito fiscal? (1 = si, 0 = no)</t>
  </si>
  <si>
    <t xml:space="preserve">Fuentes: aviso de llegada y factura F002-55098 / recibo 001-0132613 (Inca Lines); proforma 026/0000257 (agencia de aduana). Falta: tarifa final de almacen Villas Oquendo (pendiente).</t>
  </si>
  <si>
    <t xml:space="preserve">Proveedor (S/)</t>
  </si>
  <si>
    <t xml:space="preserve">Inca Lines (S/)</t>
  </si>
  <si>
    <t xml:space="preserve">Agencia de aduana con IGV (S/)</t>
  </si>
  <si>
    <t xml:space="preserve">Total desembolsado (S/)</t>
  </si>
  <si>
    <t xml:space="preserve">Impuestos recuperables (S/)</t>
  </si>
  <si>
    <t xml:space="preserve">Reparto de costos compartidos (flete, puerto, aduana) por valor FOB de cada producto</t>
  </si>
  <si>
    <t xml:space="preserve">FOB (US$)</t>
  </si>
  <si>
    <t xml:space="preserve">% del FOB</t>
  </si>
  <si>
    <t xml:space="preserve">Costo asignado (S/)</t>
  </si>
  <si>
    <t xml:space="preserve">COSTO UNITARIO (S/)</t>
  </si>
  <si>
    <t xml:space="preserve">Filtro de caño</t>
  </si>
  <si>
    <t xml:space="preserve">Repuesto de caño</t>
  </si>
  <si>
    <t xml:space="preserve">Filtro de ducha</t>
  </si>
  <si>
    <t xml:space="preserve">Limitacion: no incluye PureCore/nucleo de magnesio (si vienen de otra compra), empaque final, comisiones bancarias ni almacen de puerto pendiente.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</si>
</sst>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#,##0.0;\(#,##0.0\);\-"/>
    <numFmt numFmtId="167" formatCode="0.0"/>
    <numFmt numFmtId="168" formatCode="0"/>
    <numFmt numFmtId="169" formatCode="#,##0"/>
    <numFmt numFmtId="170" formatCode="#,##0.00;\(#,##0.00\);\-"/>
    <numFmt numFmtId="171" formatCode="0.0%;\(0.0%\);\-"/>
    <numFmt numFmtId="172" formatCode="0.000"/>
    <numFmt numFmtId="173" formatCode="0.00"/>
    <numFmt numFmtId="174" formatCode="0.0\x"/>
    <numFmt numFmtId="175" formatCode="#,##0.00"/>
    <numFmt numFmtId="176" formatCode="0.00%"/>
    <numFmt numFmtId="177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Plan_Conservador!Y7</f>
        <v>52843.1728103343</v>
      </c>
      <c r="C5" s="5" t="n">
        <f aca="false">Plan_Base!Y7</f>
        <v>121971.125366537</v>
      </c>
      <c r="D5" s="5" t="n">
        <f aca="false">Plan_Ambicioso!Y7</f>
        <v>224023.118017472</v>
      </c>
    </row>
    <row r="6" customFormat="false" ht="15" hidden="false" customHeight="false" outlineLevel="0" collapsed="false">
      <c r="A6" s="4" t="s">
        <v>7</v>
      </c>
      <c r="B6" s="6" t="n">
        <f aca="false">Plan_Conservador!Y9</f>
        <v>128.920079618535</v>
      </c>
      <c r="C6" s="6" t="n">
        <f aca="false">Plan_Base!Y9</f>
        <v>100.769324607215</v>
      </c>
      <c r="D6" s="6" t="n">
        <f aca="false">Plan_Ambicioso!Y9</f>
        <v>69.4808049829459</v>
      </c>
    </row>
    <row r="7" customFormat="false" ht="15" hidden="false" customHeight="false" outlineLevel="0" collapsed="false">
      <c r="A7" s="4" t="s">
        <v>8</v>
      </c>
      <c r="B7" s="7" t="n">
        <f aca="false">Plan_Conservador!Y13</f>
        <v>15.0293345208811</v>
      </c>
      <c r="C7" s="7" t="n">
        <f aca="false">Plan_Base!Y13</f>
        <v>46.3986418877169</v>
      </c>
      <c r="D7" s="7" t="n">
        <f aca="false">Plan_Ambicioso!Y13</f>
        <v>128.969788460257</v>
      </c>
    </row>
    <row r="8" customFormat="false" ht="15" hidden="false" customHeight="false" outlineLevel="0" collapsed="false">
      <c r="A8" s="4" t="s">
        <v>9</v>
      </c>
      <c r="B8" s="5" t="n">
        <f aca="false">Plan_Conservador!M32</f>
        <v>14614.3321684203</v>
      </c>
      <c r="C8" s="5" t="n">
        <f aca="false">Plan_Base!M32</f>
        <v>63144.127289306</v>
      </c>
      <c r="D8" s="5" t="n">
        <f aca="false">Plan_Ambicioso!M32</f>
        <v>167097.59773913</v>
      </c>
    </row>
    <row r="9" customFormat="false" ht="15" hidden="false" customHeight="false" outlineLevel="0" collapsed="false">
      <c r="A9" s="4" t="s">
        <v>10</v>
      </c>
      <c r="B9" s="5" t="n">
        <f aca="false">Plan_Conservador!Y32</f>
        <v>31686.0007234047</v>
      </c>
      <c r="C9" s="5" t="n">
        <f aca="false">Plan_Base!Y32</f>
        <v>204344.807529562</v>
      </c>
      <c r="D9" s="5" t="n">
        <f aca="false">Plan_Ambicioso!Y32</f>
        <v>808547.353942384</v>
      </c>
    </row>
    <row r="10" customFormat="false" ht="15" hidden="false" customHeight="false" outlineLevel="0" collapsed="false">
      <c r="A10" s="8" t="s">
        <v>11</v>
      </c>
      <c r="B10" s="9" t="n">
        <f aca="false">Plan_Conservador!Y34/Plan_Supuestos!$B$13</f>
        <v>81761.5216635127</v>
      </c>
      <c r="C10" s="9" t="n">
        <f aca="false">Plan_Base!Y34/Plan_Supuestos!$B$13</f>
        <v>451936.40583354</v>
      </c>
      <c r="D10" s="9" t="n">
        <f aca="false">Plan_Ambicioso!Y34/Plan_Supuestos!$B$13</f>
        <v>1554638.39318853</v>
      </c>
    </row>
    <row r="11" customFormat="false" ht="15" hidden="false" customHeight="false" outlineLevel="0" collapsed="false">
      <c r="A11" s="8" t="s">
        <v>12</v>
      </c>
      <c r="B11" s="9" t="n">
        <f aca="false">Plan_Conservador!Y36</f>
        <v>108637.716765959</v>
      </c>
      <c r="C11" s="9" t="n">
        <f aca="false">Plan_Base!Y36</f>
        <v>700610.768672783</v>
      </c>
      <c r="D11" s="9" t="n">
        <f aca="false">Plan_Ambicioso!Y36</f>
        <v>2772162.35637389</v>
      </c>
    </row>
    <row r="12" customFormat="false" ht="15" hidden="false" customHeight="false" outlineLevel="0" collapsed="false">
      <c r="A12" s="4" t="s">
        <v>13</v>
      </c>
      <c r="B12" s="5" t="n">
        <f aca="false">Plan_Conservador!Y33/Plan_Supuestos!$B$13</f>
        <v>107573.475308061</v>
      </c>
      <c r="C12" s="5" t="n">
        <f aca="false">Plan_Base!Y33/Plan_Supuestos!$B$13</f>
        <v>561797.747940147</v>
      </c>
      <c r="D12" s="5" t="n">
        <f aca="false">Plan_Ambicioso!Y33/Plan_Supuestos!$B$13</f>
        <v>1812790.20765713</v>
      </c>
    </row>
    <row r="13" customFormat="false" ht="15" hidden="false" customHeight="false" outlineLevel="0" collapsed="false">
      <c r="A13" s="4" t="s">
        <v>14</v>
      </c>
      <c r="B13" s="10" t="str">
        <f aca="false">IFERROR(MATCH(1,Plan_Conservador!B37:Y37,0),"no en 24 meses")</f>
        <v>no en 24 meses</v>
      </c>
      <c r="C13" s="10" t="str">
        <f aca="false">IFERROR(MATCH(1,Plan_Base!B37:Y37,0),"no en 24 meses")</f>
        <v>no en 24 meses</v>
      </c>
      <c r="D13" s="10" t="n">
        <f aca="false">IFERROR(MATCH(1,Plan_Ambicioso!B37:Y37,0),"no en 24 meses")</f>
        <v>16</v>
      </c>
    </row>
    <row r="14" customFormat="false" ht="15" hidden="false" customHeight="false" outlineLevel="0" collapsed="false">
      <c r="A14" s="4" t="s">
        <v>15</v>
      </c>
      <c r="B14" s="5" t="n">
        <f aca="false">-MIN(0,MIN(Plan_Conservador!B42:Y42))</f>
        <v>-0</v>
      </c>
      <c r="C14" s="5" t="n">
        <f aca="false">-MIN(0,MIN(Plan_Base!B42:Y42))</f>
        <v>-0</v>
      </c>
      <c r="D14" s="5" t="n">
        <f aca="false">-MIN(0,MIN(Plan_Ambicioso!B42:Y42))</f>
        <v>-0</v>
      </c>
    </row>
    <row r="16" customFormat="false" ht="15" hidden="false" customHeight="false" outlineLevel="0" collapsed="false">
      <c r="A16" s="2" t="s">
        <v>16</v>
      </c>
    </row>
    <row r="18" customFormat="false" ht="15" hidden="false" customHeight="false" outlineLevel="0" collapsed="false">
      <c r="A18" s="11" t="s">
        <v>17</v>
      </c>
      <c r="B18" s="12"/>
      <c r="C18" s="12"/>
      <c r="D18" s="12"/>
      <c r="E18" s="12"/>
      <c r="F18" s="12"/>
      <c r="G18" s="12"/>
    </row>
    <row r="19" customFormat="false" ht="43.5" hidden="false" customHeight="true" outlineLevel="0" collapsed="false">
      <c r="A19" s="13" t="s">
        <v>18</v>
      </c>
      <c r="B19" s="13" t="s">
        <v>19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customFormat="false" ht="15" hidden="false" customHeight="false" outlineLevel="0" collapsed="false">
      <c r="A20" s="4" t="s">
        <v>25</v>
      </c>
      <c r="B20" s="14" t="n">
        <f aca="false">SUM(Plan_Base!F43:K43)</f>
        <v>1494.7984713402</v>
      </c>
      <c r="C20" s="14" t="n">
        <f aca="false">B20*(1+$B$27)</f>
        <v>1793.75816560824</v>
      </c>
      <c r="D20" s="15" t="n">
        <v>450</v>
      </c>
      <c r="E20" s="16" t="n">
        <f aca="false">MAX(0,C20-D20)</f>
        <v>1343.75816560824</v>
      </c>
      <c r="F20" s="17" t="n">
        <f aca="false">Costo_Lima!F35</f>
        <v>22.4199114837147</v>
      </c>
      <c r="G20" s="5" t="n">
        <f aca="false">E20*F20</f>
        <v>30126.9391284556</v>
      </c>
    </row>
    <row r="21" customFormat="false" ht="15" hidden="false" customHeight="false" outlineLevel="0" collapsed="false">
      <c r="A21" s="4" t="s">
        <v>26</v>
      </c>
      <c r="B21" s="14" t="n">
        <f aca="false">SUM(Plan_Base!F44:K44)</f>
        <v>1953.03245624402</v>
      </c>
      <c r="C21" s="14" t="n">
        <f aca="false">B21*(1+$B$27)</f>
        <v>2343.63894749282</v>
      </c>
      <c r="D21" s="15" t="n">
        <v>600</v>
      </c>
      <c r="E21" s="16" t="n">
        <f aca="false">MAX(0,C21-D21)</f>
        <v>1743.63894749282</v>
      </c>
      <c r="F21" s="17" t="n">
        <f aca="false">Costo_Lima!F36</f>
        <v>2.51652067674348</v>
      </c>
      <c r="G21" s="5" t="n">
        <f aca="false">E21*F21</f>
        <v>4387.90346414092</v>
      </c>
    </row>
    <row r="22" customFormat="false" ht="15" hidden="false" customHeight="false" outlineLevel="0" collapsed="false">
      <c r="A22" s="4" t="s">
        <v>27</v>
      </c>
      <c r="B22" s="14" t="n">
        <f aca="false">SUM(Plan_Base!F45:K45)</f>
        <v>278.310546480994</v>
      </c>
      <c r="C22" s="14" t="n">
        <f aca="false">B22*(1+$B$27)</f>
        <v>333.972655777193</v>
      </c>
      <c r="D22" s="15" t="n">
        <v>0</v>
      </c>
      <c r="E22" s="16" t="n">
        <f aca="false">MAX(0,C22-D22)</f>
        <v>333.972655777193</v>
      </c>
      <c r="F22" s="17" t="n">
        <f aca="false">Costo_Lima!F37</f>
        <v>16.2429970953443</v>
      </c>
      <c r="G22" s="5" t="n">
        <f aca="false">E22*F22</f>
        <v>5424.71687771337</v>
      </c>
    </row>
    <row r="23" customFormat="false" ht="15" hidden="false" customHeight="false" outlineLevel="0" collapsed="false">
      <c r="A23" s="4" t="s">
        <v>28</v>
      </c>
      <c r="B23" s="14" t="n">
        <f aca="false">SUM(Plan_Base!F46:K46)</f>
        <v>146.117642969482</v>
      </c>
      <c r="C23" s="14" t="n">
        <f aca="false">B23*(1+$B$27)</f>
        <v>175.341171563379</v>
      </c>
      <c r="D23" s="15" t="n">
        <v>804</v>
      </c>
      <c r="E23" s="16" t="n">
        <f aca="false">MAX(0,C23-D23)</f>
        <v>0</v>
      </c>
      <c r="F23" s="17" t="n">
        <f aca="false">Contenedor2!F71</f>
        <v>47.5489513777738</v>
      </c>
      <c r="G23" s="5" t="n">
        <f aca="false">E23*F23</f>
        <v>0</v>
      </c>
    </row>
    <row r="24" customFormat="false" ht="15" hidden="false" customHeight="false" outlineLevel="0" collapsed="false">
      <c r="A24" s="4" t="s">
        <v>29</v>
      </c>
      <c r="B24" s="14" t="n">
        <f aca="false">SUM(Plan_Base!F47:K47)</f>
        <v>94.6329555106745</v>
      </c>
      <c r="C24" s="14" t="n">
        <f aca="false">B24*(1+$B$27)</f>
        <v>113.559546612809</v>
      </c>
      <c r="D24" s="15" t="n">
        <v>804</v>
      </c>
      <c r="E24" s="16" t="n">
        <f aca="false">MAX(0,C24-D24)</f>
        <v>0</v>
      </c>
      <c r="F24" s="17" t="n">
        <f aca="false">Contenedor2!F72</f>
        <v>39.8415917230648</v>
      </c>
      <c r="G24" s="5" t="n">
        <f aca="false">E24*F24</f>
        <v>0</v>
      </c>
    </row>
    <row r="25" customFormat="false" ht="15" hidden="false" customHeight="false" outlineLevel="0" collapsed="false">
      <c r="A25" s="4" t="s">
        <v>30</v>
      </c>
      <c r="B25" s="14" t="n">
        <f aca="false">SUM(Plan_Base!F48:K48)</f>
        <v>73.7458463237191</v>
      </c>
      <c r="C25" s="14" t="n">
        <f aca="false">B25*(1+$B$27)</f>
        <v>88.4950155884629</v>
      </c>
      <c r="D25" s="15" t="n">
        <v>100</v>
      </c>
      <c r="E25" s="16" t="n">
        <f aca="false">MAX(0,C25-D25)</f>
        <v>0</v>
      </c>
      <c r="F25" s="17" t="n">
        <f aca="false">Contenedor2!F74</f>
        <v>635.123072896298</v>
      </c>
      <c r="G25" s="5" t="n">
        <f aca="false">E25*F25</f>
        <v>0</v>
      </c>
    </row>
    <row r="26" customFormat="false" ht="15" hidden="false" customHeight="false" outlineLevel="0" collapsed="false">
      <c r="A26" s="8" t="s">
        <v>31</v>
      </c>
      <c r="G26" s="18" t="n">
        <f aca="false">SUM(G20:G25)</f>
        <v>39939.5594703099</v>
      </c>
    </row>
    <row r="27" customFormat="false" ht="15" hidden="false" customHeight="false" outlineLevel="0" collapsed="false">
      <c r="A27" s="4" t="s">
        <v>32</v>
      </c>
      <c r="B27" s="19" t="n">
        <v>0.2</v>
      </c>
    </row>
    <row r="28" customFormat="false" ht="15" hidden="false" customHeight="false" outlineLevel="0" collapsed="false">
      <c r="A28" s="2" t="s">
        <v>33</v>
      </c>
    </row>
    <row r="29" customFormat="false" ht="15" hidden="false" customHeight="false" outlineLevel="0" collapsed="false">
      <c r="A29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13" min="4" style="0" width="19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3" t="s">
        <v>37</v>
      </c>
      <c r="B4" s="13" t="s">
        <v>38</v>
      </c>
      <c r="C4" s="13" t="s">
        <v>39</v>
      </c>
    </row>
    <row r="5" customFormat="false" ht="15" hidden="false" customHeight="false" outlineLevel="0" collapsed="false">
      <c r="A5" s="4" t="s">
        <v>40</v>
      </c>
      <c r="B5" s="20" t="n">
        <v>4.5</v>
      </c>
      <c r="C5" s="2" t="s">
        <v>41</v>
      </c>
    </row>
    <row r="6" customFormat="false" ht="15" hidden="false" customHeight="false" outlineLevel="0" collapsed="false">
      <c r="A6" s="4" t="s">
        <v>42</v>
      </c>
      <c r="B6" s="15" t="n">
        <v>9000</v>
      </c>
      <c r="C6" s="2" t="s">
        <v>43</v>
      </c>
    </row>
    <row r="7" customFormat="false" ht="15" hidden="false" customHeight="false" outlineLevel="0" collapsed="false">
      <c r="A7" s="4" t="s">
        <v>44</v>
      </c>
      <c r="B7" s="21" t="n">
        <v>60</v>
      </c>
      <c r="C7" s="2" t="s">
        <v>45</v>
      </c>
    </row>
    <row r="8" customFormat="false" ht="15" hidden="false" customHeight="false" outlineLevel="0" collapsed="false">
      <c r="A8" s="4" t="s">
        <v>46</v>
      </c>
      <c r="B8" s="22" t="n">
        <v>0.75</v>
      </c>
      <c r="C8" s="2" t="s">
        <v>47</v>
      </c>
    </row>
    <row r="9" customFormat="false" ht="15" hidden="false" customHeight="false" outlineLevel="0" collapsed="false">
      <c r="A9" s="4" t="s">
        <v>48</v>
      </c>
      <c r="B9" s="21" t="n">
        <v>15000</v>
      </c>
      <c r="C9" s="2" t="s">
        <v>49</v>
      </c>
    </row>
    <row r="10" customFormat="false" ht="15" hidden="false" customHeight="false" outlineLevel="0" collapsed="false">
      <c r="A10" s="4" t="s">
        <v>50</v>
      </c>
      <c r="B10" s="23" t="n">
        <v>8</v>
      </c>
      <c r="C10" s="2" t="s">
        <v>51</v>
      </c>
    </row>
    <row r="11" customFormat="false" ht="15" hidden="false" customHeight="false" outlineLevel="0" collapsed="false">
      <c r="A11" s="4" t="s">
        <v>52</v>
      </c>
      <c r="B11" s="24" t="n">
        <v>5</v>
      </c>
      <c r="C11" s="2" t="s">
        <v>53</v>
      </c>
    </row>
    <row r="12" customFormat="false" ht="15" hidden="false" customHeight="false" outlineLevel="0" collapsed="false">
      <c r="A12" s="4" t="s">
        <v>54</v>
      </c>
      <c r="B12" s="22" t="n">
        <v>0</v>
      </c>
      <c r="C12" s="2" t="s">
        <v>55</v>
      </c>
    </row>
    <row r="13" customFormat="false" ht="15" hidden="false" customHeight="false" outlineLevel="0" collapsed="false">
      <c r="A13" s="4" t="s">
        <v>56</v>
      </c>
      <c r="B13" s="25" t="n">
        <f aca="false">Supuestos!B5</f>
        <v>3.5</v>
      </c>
      <c r="C13" s="2"/>
    </row>
    <row r="14" customFormat="false" ht="15" hidden="false" customHeight="false" outlineLevel="0" collapsed="false">
      <c r="A14" s="4" t="s">
        <v>57</v>
      </c>
      <c r="B14" s="15" t="n">
        <v>1000000</v>
      </c>
      <c r="C14" s="2"/>
    </row>
    <row r="16" customFormat="false" ht="15" hidden="false" customHeight="false" outlineLevel="0" collapsed="false">
      <c r="A16" s="13" t="s">
        <v>58</v>
      </c>
      <c r="B16" s="13" t="s">
        <v>3</v>
      </c>
      <c r="C16" s="13" t="s">
        <v>4</v>
      </c>
      <c r="D16" s="13" t="s">
        <v>5</v>
      </c>
      <c r="E16" s="13" t="s">
        <v>39</v>
      </c>
    </row>
    <row r="17" customFormat="false" ht="15" hidden="false" customHeight="false" outlineLevel="0" collapsed="false">
      <c r="A17" s="4" t="s">
        <v>59</v>
      </c>
      <c r="B17" s="23" t="n">
        <v>80</v>
      </c>
      <c r="C17" s="23" t="n">
        <v>65</v>
      </c>
      <c r="D17" s="23" t="n">
        <v>55</v>
      </c>
      <c r="E17" s="2" t="s">
        <v>60</v>
      </c>
    </row>
    <row r="18" customFormat="false" ht="15" hidden="false" customHeight="false" outlineLevel="0" collapsed="false">
      <c r="A18" s="4" t="s">
        <v>61</v>
      </c>
      <c r="B18" s="26" t="n">
        <v>0.35</v>
      </c>
      <c r="C18" s="26" t="n">
        <v>0.25</v>
      </c>
      <c r="D18" s="26" t="n">
        <v>0.15</v>
      </c>
      <c r="E18" s="2" t="s">
        <v>62</v>
      </c>
    </row>
    <row r="19" customFormat="false" ht="15" hidden="false" customHeight="false" outlineLevel="0" collapsed="false">
      <c r="A19" s="4" t="s">
        <v>63</v>
      </c>
      <c r="B19" s="22" t="n">
        <v>0.08</v>
      </c>
      <c r="C19" s="22" t="n">
        <v>0.12</v>
      </c>
      <c r="D19" s="22" t="n">
        <v>0.15</v>
      </c>
      <c r="E19" s="2"/>
    </row>
    <row r="20" customFormat="false" ht="15" hidden="false" customHeight="false" outlineLevel="0" collapsed="false">
      <c r="A20" s="4" t="s">
        <v>64</v>
      </c>
      <c r="B20" s="15" t="n">
        <v>150000</v>
      </c>
      <c r="C20" s="15" t="n">
        <v>250000</v>
      </c>
      <c r="D20" s="15" t="n">
        <v>400000</v>
      </c>
      <c r="E20" s="2"/>
    </row>
    <row r="21" customFormat="false" ht="15" hidden="false" customHeight="false" outlineLevel="0" collapsed="false">
      <c r="A21" s="4" t="s">
        <v>65</v>
      </c>
      <c r="B21" s="22" t="n">
        <v>0.005</v>
      </c>
      <c r="C21" s="22" t="n">
        <v>0.01</v>
      </c>
      <c r="D21" s="22" t="n">
        <v>0.015</v>
      </c>
      <c r="E21" s="2" t="s">
        <v>66</v>
      </c>
    </row>
    <row r="22" customFormat="false" ht="15" hidden="false" customHeight="false" outlineLevel="0" collapsed="false">
      <c r="A22" s="4" t="s">
        <v>67</v>
      </c>
      <c r="B22" s="22" t="n">
        <v>0.15</v>
      </c>
      <c r="C22" s="22" t="n">
        <v>0.2</v>
      </c>
      <c r="D22" s="22" t="n">
        <v>0.25</v>
      </c>
      <c r="E22" s="2"/>
    </row>
    <row r="23" customFormat="false" ht="15" hidden="false" customHeight="false" outlineLevel="0" collapsed="false">
      <c r="A23" s="4" t="s">
        <v>68</v>
      </c>
      <c r="B23" s="22" t="n">
        <v>0.1</v>
      </c>
      <c r="C23" s="22" t="n">
        <v>0.15</v>
      </c>
      <c r="D23" s="22" t="n">
        <v>0.2</v>
      </c>
      <c r="E23" s="2" t="s">
        <v>69</v>
      </c>
    </row>
    <row r="24" customFormat="false" ht="15" hidden="false" customHeight="false" outlineLevel="0" collapsed="false">
      <c r="A24" s="4" t="s">
        <v>70</v>
      </c>
      <c r="B24" s="22" t="n">
        <v>0.08</v>
      </c>
      <c r="C24" s="22" t="n">
        <v>0.12</v>
      </c>
      <c r="D24" s="22" t="n">
        <v>0.16</v>
      </c>
      <c r="E24" s="2" t="s">
        <v>71</v>
      </c>
    </row>
    <row r="25" customFormat="false" ht="15" hidden="false" customHeight="false" outlineLevel="0" collapsed="false">
      <c r="A25" s="4" t="s">
        <v>72</v>
      </c>
      <c r="B25" s="19" t="n">
        <v>0.04</v>
      </c>
      <c r="C25" s="19" t="n">
        <v>0.06</v>
      </c>
      <c r="D25" s="19" t="n">
        <v>0.08</v>
      </c>
      <c r="E25" s="2" t="s">
        <v>73</v>
      </c>
    </row>
    <row r="26" customFormat="false" ht="15" hidden="false" customHeight="false" outlineLevel="0" collapsed="false">
      <c r="A26" s="4" t="s">
        <v>74</v>
      </c>
      <c r="B26" s="22" t="n">
        <v>0</v>
      </c>
      <c r="C26" s="22" t="n">
        <v>0.05</v>
      </c>
      <c r="D26" s="22" t="n">
        <v>0.1</v>
      </c>
      <c r="E26" s="2" t="s">
        <v>75</v>
      </c>
    </row>
    <row r="29" customFormat="false" ht="57.75" hidden="false" customHeight="true" outlineLevel="0" collapsed="false">
      <c r="A29" s="13" t="s">
        <v>18</v>
      </c>
      <c r="B29" s="13" t="s">
        <v>76</v>
      </c>
      <c r="C29" s="13" t="s">
        <v>77</v>
      </c>
      <c r="D29" s="13" t="s">
        <v>78</v>
      </c>
      <c r="E29" s="13" t="s">
        <v>79</v>
      </c>
      <c r="F29" s="13" t="s">
        <v>80</v>
      </c>
      <c r="G29" s="13" t="s">
        <v>81</v>
      </c>
      <c r="H29" s="13" t="s">
        <v>82</v>
      </c>
      <c r="I29" s="13" t="s">
        <v>83</v>
      </c>
      <c r="J29" s="13" t="s">
        <v>84</v>
      </c>
      <c r="K29" s="13" t="s">
        <v>85</v>
      </c>
      <c r="L29" s="13" t="s">
        <v>86</v>
      </c>
      <c r="M29" s="13" t="s">
        <v>87</v>
      </c>
    </row>
    <row r="30" customFormat="false" ht="15" hidden="false" customHeight="false" outlineLevel="0" collapsed="false">
      <c r="A30" s="4" t="s">
        <v>88</v>
      </c>
      <c r="B30" s="27" t="n">
        <f aca="false">$B$39*Resumen!C5+$B$40*Resumen!C6+$B$41*Resumen!C7</f>
        <v>194.502745309215</v>
      </c>
      <c r="C30" s="27" t="n">
        <f aca="false">$B$39*Resumen!F5+$B$40*Resumen!F6+$B$41*Resumen!F7</f>
        <v>258.128431636519</v>
      </c>
      <c r="D30" s="6" t="n">
        <f aca="false">$B$8*B30+(1-$B$8)*C30</f>
        <v>210.409166891041</v>
      </c>
      <c r="E30" s="6" t="n">
        <f aca="false">(B30+Supuestos!$B$16+Supuestos!$B$18)/Supuestos!$B$7</f>
        <v>263.128431636519</v>
      </c>
      <c r="F30" s="17" t="n">
        <f aca="false">-($B$39*Desglose!B15+$B$40*Desglose!C15+$B$41*Desglose!D15)</f>
        <v>25.6913883634812</v>
      </c>
      <c r="G30" s="28" t="n">
        <f aca="false">1-SUM(G31:G35)</f>
        <v>0.82</v>
      </c>
      <c r="H30" s="2" t="s">
        <v>89</v>
      </c>
      <c r="I30" s="7" t="n">
        <f aca="false">$B$40*1+$B$41*3</f>
        <v>1.3</v>
      </c>
      <c r="J30" s="24" t="n">
        <v>0</v>
      </c>
      <c r="K30" s="20" t="n">
        <v>1</v>
      </c>
      <c r="L30" s="6" t="n">
        <f aca="false">D30-K30*$C$17</f>
        <v>145.409166891041</v>
      </c>
      <c r="M30" s="29" t="n">
        <f aca="false">IF(K30&gt;0,D30/(K30*$C$17),"")</f>
        <v>3.23706410601602</v>
      </c>
    </row>
    <row r="31" customFormat="false" ht="15" hidden="false" customHeight="false" outlineLevel="0" collapsed="false">
      <c r="A31" s="4" t="s">
        <v>90</v>
      </c>
      <c r="B31" s="27" t="n">
        <f aca="false">Resumen!C9</f>
        <v>126.454549593667</v>
      </c>
      <c r="C31" s="27" t="n">
        <f aca="false">Resumen!F9</f>
        <v>173.068186992084</v>
      </c>
      <c r="D31" s="6" t="n">
        <f aca="false">$B$8*B31+(1-$B$8)*C31</f>
        <v>138.107958943272</v>
      </c>
      <c r="E31" s="6" t="n">
        <f aca="false">(B31+Supuestos!$B$16+Supuestos!$B$18)/Supuestos!$B$7</f>
        <v>178.068186992084</v>
      </c>
      <c r="F31" s="17" t="n">
        <f aca="false">-Desglose!F15</f>
        <v>24.9364321604581</v>
      </c>
      <c r="G31" s="22" t="n">
        <v>0.08</v>
      </c>
      <c r="H31" s="22" t="n">
        <v>0.05</v>
      </c>
      <c r="I31" s="20" t="n">
        <v>1</v>
      </c>
      <c r="J31" s="24" t="n">
        <v>0</v>
      </c>
      <c r="K31" s="20" t="n">
        <v>1</v>
      </c>
      <c r="L31" s="6" t="n">
        <f aca="false">D31-K31*$C$17</f>
        <v>73.1079589432716</v>
      </c>
      <c r="M31" s="29" t="n">
        <f aca="false">IF(K31&gt;0,D31/(K31*$C$17),"")</f>
        <v>2.12473782989649</v>
      </c>
    </row>
    <row r="32" customFormat="false" ht="15" hidden="false" customHeight="false" outlineLevel="0" collapsed="false">
      <c r="A32" s="4" t="s">
        <v>28</v>
      </c>
      <c r="B32" s="27" t="n">
        <f aca="false">Contenedor2!B89</f>
        <v>88.7496311689675</v>
      </c>
      <c r="C32" s="27" t="n">
        <f aca="false">Contenedor2!B89</f>
        <v>88.7496311689675</v>
      </c>
      <c r="D32" s="6" t="n">
        <f aca="false">$B$8*B32+(1-$B$8)*C32</f>
        <v>88.7496311689675</v>
      </c>
      <c r="E32" s="6" t="n">
        <f aca="false">(B32+Supuestos!$B$16+Supuestos!$B$18)/Supuestos!$B$7</f>
        <v>130.937038961209</v>
      </c>
      <c r="F32" s="17" t="n">
        <f aca="false">-Contenedor2!B82</f>
        <v>47.5489513777738</v>
      </c>
      <c r="G32" s="22" t="n">
        <v>0.05</v>
      </c>
      <c r="H32" s="22" t="n">
        <v>0.1</v>
      </c>
      <c r="I32" s="20" t="n">
        <v>0</v>
      </c>
      <c r="J32" s="24" t="n">
        <v>0</v>
      </c>
      <c r="K32" s="30" t="n">
        <v>0.5</v>
      </c>
      <c r="L32" s="6" t="n">
        <f aca="false">D32-K32*$C$17</f>
        <v>56.2496311689675</v>
      </c>
      <c r="M32" s="29" t="n">
        <f aca="false">IF(K32&gt;0,D32/(K32*$C$17),"")</f>
        <v>2.73075788212208</v>
      </c>
    </row>
    <row r="33" customFormat="false" ht="15" hidden="false" customHeight="false" outlineLevel="0" collapsed="false">
      <c r="A33" s="4" t="s">
        <v>29</v>
      </c>
      <c r="B33" s="27" t="n">
        <f aca="false">Contenedor2!C89</f>
        <v>55.6857127910397</v>
      </c>
      <c r="C33" s="27" t="n">
        <f aca="false">Contenedor2!C89</f>
        <v>55.6857127910397</v>
      </c>
      <c r="D33" s="6" t="n">
        <f aca="false">$B$8*B33+(1-$B$8)*C33</f>
        <v>55.6857127910397</v>
      </c>
      <c r="E33" s="6" t="n">
        <f aca="false">(B33+Supuestos!$B$16+Supuestos!$B$18)/Supuestos!$B$7</f>
        <v>89.6071409887997</v>
      </c>
      <c r="F33" s="17" t="n">
        <f aca="false">-Contenedor2!C82</f>
        <v>39.8415917230648</v>
      </c>
      <c r="G33" s="22" t="n">
        <v>0.04</v>
      </c>
      <c r="H33" s="22" t="n">
        <v>0.06</v>
      </c>
      <c r="I33" s="20" t="n">
        <v>0</v>
      </c>
      <c r="J33" s="24" t="n">
        <v>0</v>
      </c>
      <c r="K33" s="30" t="n">
        <v>0.5</v>
      </c>
      <c r="L33" s="6" t="n">
        <f aca="false">D33-K33*$C$17</f>
        <v>23.1857127910397</v>
      </c>
      <c r="M33" s="29" t="n">
        <f aca="false">IF(K33&gt;0,D33/(K33*$C$17),"")</f>
        <v>1.71340654741661</v>
      </c>
    </row>
    <row r="34" customFormat="false" ht="15" hidden="false" customHeight="false" outlineLevel="0" collapsed="false">
      <c r="A34" s="4" t="s">
        <v>30</v>
      </c>
      <c r="B34" s="27" t="n">
        <f aca="false">Contenedor2!E89</f>
        <v>905.088945479572</v>
      </c>
      <c r="C34" s="27" t="n">
        <f aca="false">Contenedor2!E89</f>
        <v>905.088945479572</v>
      </c>
      <c r="D34" s="6" t="n">
        <f aca="false">$B$8*B34+(1-$B$8)*C34</f>
        <v>905.088945479572</v>
      </c>
      <c r="E34" s="6" t="n">
        <f aca="false">(B34+Supuestos!$B$16+Supuestos!$B$18)/Supuestos!$B$7</f>
        <v>1151.36118184947</v>
      </c>
      <c r="F34" s="17" t="n">
        <f aca="false">-Contenedor2!E82</f>
        <v>635.123072896298</v>
      </c>
      <c r="G34" s="22" t="n">
        <v>0.01</v>
      </c>
      <c r="H34" s="2" t="s">
        <v>91</v>
      </c>
      <c r="I34" s="20" t="n">
        <v>0</v>
      </c>
      <c r="J34" s="24" t="n">
        <v>0</v>
      </c>
      <c r="K34" s="30" t="n">
        <v>2.5</v>
      </c>
      <c r="L34" s="6" t="n">
        <f aca="false">D34-K34*$C$17</f>
        <v>742.588945479572</v>
      </c>
      <c r="M34" s="29" t="n">
        <f aca="false">IF(K34&gt;0,D34/(K34*$C$17),"")</f>
        <v>5.56977812602814</v>
      </c>
    </row>
    <row r="35" customFormat="false" ht="15" hidden="false" customHeight="false" outlineLevel="0" collapsed="false">
      <c r="A35" s="4" t="s">
        <v>92</v>
      </c>
      <c r="B35" s="27" t="n">
        <f aca="false">Resumen!C13</f>
        <v>48.6579974982881</v>
      </c>
      <c r="C35" s="27" t="n">
        <f aca="false">Resumen!F13</f>
        <v>75.8224968728601</v>
      </c>
      <c r="D35" s="6" t="n">
        <f aca="false">$B$8*B35+(1-$B$8)*C35</f>
        <v>55.4491223419311</v>
      </c>
      <c r="E35" s="6" t="n">
        <f aca="false">(B35+Supuestos!$B$16+Supuestos!$B$18)/Supuestos!$B$7</f>
        <v>80.8224968728601</v>
      </c>
      <c r="F35" s="17" t="n">
        <f aca="false">-Desglose!J15</f>
        <v>64.9719883813772</v>
      </c>
      <c r="G35" s="22" t="n">
        <v>0</v>
      </c>
      <c r="H35" s="22" t="n">
        <v>0</v>
      </c>
      <c r="I35" s="20" t="n">
        <v>0</v>
      </c>
      <c r="J35" s="24" t="n">
        <v>1</v>
      </c>
      <c r="K35" s="20" t="n">
        <v>1</v>
      </c>
      <c r="L35" s="6" t="n">
        <f aca="false">D35-K35*$C$17</f>
        <v>-9.55087765806889</v>
      </c>
      <c r="M35" s="29" t="n">
        <f aca="false">IF(K35&gt;0,D35/(K35*$C$17),"")</f>
        <v>0.853063420645094</v>
      </c>
    </row>
    <row r="36" customFormat="false" ht="15" hidden="false" customHeight="false" outlineLevel="0" collapsed="false">
      <c r="A36" s="4" t="s">
        <v>93</v>
      </c>
      <c r="B36" s="27" t="n">
        <f aca="false">Resumen!C15</f>
        <v>111.698973695893</v>
      </c>
      <c r="C36" s="27" t="n">
        <f aca="false">Resumen!F15</f>
        <v>154.623717119867</v>
      </c>
      <c r="D36" s="6" t="n">
        <f aca="false">$B$8*B36+(1-$B$8)*C36</f>
        <v>122.430159551887</v>
      </c>
      <c r="E36" s="6" t="n">
        <f aca="false">(B36+Supuestos!$B$16+Supuestos!$B$18)/Supuestos!$B$7</f>
        <v>159.623717119867</v>
      </c>
      <c r="F36" s="17" t="n">
        <f aca="false">-Costo_Lima!F36</f>
        <v>-2.51652067674348</v>
      </c>
      <c r="I36" s="20" t="n">
        <v>0</v>
      </c>
      <c r="J36" s="24" t="n">
        <v>0</v>
      </c>
      <c r="K36" s="2" t="s">
        <v>94</v>
      </c>
    </row>
    <row r="37" customFormat="false" ht="15" hidden="false" customHeight="false" outlineLevel="0" collapsed="false">
      <c r="A37" s="2" t="s">
        <v>95</v>
      </c>
    </row>
    <row r="38" customFormat="false" ht="15" hidden="false" customHeight="false" outlineLevel="0" collapsed="false">
      <c r="A38" s="8" t="s">
        <v>96</v>
      </c>
    </row>
    <row r="39" customFormat="false" ht="15" hidden="false" customHeight="false" outlineLevel="0" collapsed="false">
      <c r="A39" s="4" t="s">
        <v>97</v>
      </c>
      <c r="B39" s="22" t="n">
        <v>0.1</v>
      </c>
    </row>
    <row r="40" customFormat="false" ht="15" hidden="false" customHeight="false" outlineLevel="0" collapsed="false">
      <c r="A40" s="4" t="s">
        <v>98</v>
      </c>
      <c r="B40" s="22" t="n">
        <v>0.7</v>
      </c>
    </row>
    <row r="41" customFormat="false" ht="15" hidden="false" customHeight="false" outlineLevel="0" collapsed="false">
      <c r="A41" s="4" t="s">
        <v>99</v>
      </c>
      <c r="B41" s="22" t="n">
        <v>0.2</v>
      </c>
    </row>
    <row r="43" customFormat="false" ht="15" hidden="false" customHeight="false" outlineLevel="0" collapsed="false">
      <c r="A43" s="4" t="s">
        <v>100</v>
      </c>
      <c r="B43" s="19" t="n">
        <v>0.08</v>
      </c>
      <c r="C43" s="2" t="s">
        <v>101</v>
      </c>
    </row>
    <row r="44" customFormat="false" ht="15" hidden="false" customHeight="false" outlineLevel="0" collapsed="false">
      <c r="A44" s="4" t="s">
        <v>102</v>
      </c>
      <c r="B44" s="19" t="n">
        <v>0.2</v>
      </c>
    </row>
    <row r="45" customFormat="false" ht="15" hidden="false" customHeight="false" outlineLevel="0" collapsed="false">
      <c r="A45" s="4" t="s">
        <v>103</v>
      </c>
      <c r="B45" s="27" t="n">
        <f aca="false">0.85*(Desglose!H14+Desglose!H15+Desglose!H16)</f>
        <v>54.5432062909913</v>
      </c>
      <c r="C45" s="2" t="s">
        <v>104</v>
      </c>
    </row>
    <row r="48" customFormat="false" ht="15" hidden="false" customHeight="false" outlineLevel="0" collapsed="false">
      <c r="A48" s="11" t="s">
        <v>105</v>
      </c>
      <c r="B48" s="12"/>
      <c r="C48" s="12"/>
      <c r="D48" s="12"/>
    </row>
    <row r="49" customFormat="false" ht="15" hidden="false" customHeight="false" outlineLevel="0" collapsed="false">
      <c r="A49" s="3"/>
      <c r="B49" s="3" t="s">
        <v>106</v>
      </c>
      <c r="C49" s="3" t="s">
        <v>107</v>
      </c>
      <c r="D49" s="3" t="s">
        <v>108</v>
      </c>
    </row>
    <row r="50" customFormat="false" ht="15" hidden="false" customHeight="false" outlineLevel="0" collapsed="false">
      <c r="A50" s="4" t="s">
        <v>109</v>
      </c>
      <c r="B50" s="31" t="n">
        <v>2229.52</v>
      </c>
      <c r="C50" s="31" t="n">
        <v>1806.51</v>
      </c>
      <c r="D50" s="32" t="n">
        <f aca="false">B50+C50</f>
        <v>4036.03</v>
      </c>
    </row>
    <row r="51" customFormat="false" ht="15" hidden="false" customHeight="false" outlineLevel="0" collapsed="false">
      <c r="A51" s="4" t="s">
        <v>110</v>
      </c>
      <c r="B51" s="14" t="n">
        <f aca="false">B50*$B$13</f>
        <v>7803.32</v>
      </c>
      <c r="C51" s="14" t="n">
        <f aca="false">C50*$B$13</f>
        <v>6322.785</v>
      </c>
      <c r="D51" s="14" t="n">
        <f aca="false">B51+C51</f>
        <v>14126.105</v>
      </c>
    </row>
    <row r="52" customFormat="false" ht="15" hidden="false" customHeight="false" outlineLevel="0" collapsed="false">
      <c r="A52" s="4" t="s">
        <v>111</v>
      </c>
      <c r="B52" s="15" t="n">
        <v>64</v>
      </c>
      <c r="C52" s="15" t="n">
        <v>29</v>
      </c>
      <c r="D52" s="14" t="n">
        <f aca="false">B52+C52</f>
        <v>93</v>
      </c>
    </row>
    <row r="53" customFormat="false" ht="15" hidden="false" customHeight="false" outlineLevel="0" collapsed="false">
      <c r="A53" s="4" t="s">
        <v>112</v>
      </c>
      <c r="B53" s="15" t="n">
        <v>103</v>
      </c>
      <c r="C53" s="15" t="n">
        <v>50</v>
      </c>
      <c r="D53" s="14" t="n">
        <f aca="false">B53+C53</f>
        <v>153</v>
      </c>
    </row>
    <row r="54" customFormat="false" ht="15" hidden="false" customHeight="false" outlineLevel="0" collapsed="false">
      <c r="A54" s="4" t="s">
        <v>113</v>
      </c>
      <c r="B54" s="14" t="n">
        <f aca="false">B52+B53</f>
        <v>167</v>
      </c>
      <c r="C54" s="14" t="n">
        <f aca="false">C52+C53</f>
        <v>79</v>
      </c>
      <c r="D54" s="14" t="n">
        <f aca="false">B54+C54</f>
        <v>246</v>
      </c>
    </row>
    <row r="55" customFormat="false" ht="15" hidden="false" customHeight="false" outlineLevel="0" collapsed="false">
      <c r="A55" s="4" t="s">
        <v>114</v>
      </c>
      <c r="B55" s="15" t="n">
        <v>33</v>
      </c>
      <c r="C55" s="15" t="n">
        <v>11</v>
      </c>
      <c r="D55" s="14" t="n">
        <f aca="false">B55+C55</f>
        <v>44</v>
      </c>
    </row>
    <row r="56" customFormat="false" ht="15" hidden="false" customHeight="false" outlineLevel="0" collapsed="false">
      <c r="A56" s="4" t="s">
        <v>115</v>
      </c>
      <c r="B56" s="14" t="n">
        <f aca="false">B54-B55</f>
        <v>134</v>
      </c>
      <c r="C56" s="14" t="n">
        <f aca="false">C54-C55</f>
        <v>68</v>
      </c>
      <c r="D56" s="14" t="n">
        <f aca="false">B56+C56</f>
        <v>202</v>
      </c>
    </row>
    <row r="57" customFormat="false" ht="15" hidden="false" customHeight="false" outlineLevel="0" collapsed="false">
      <c r="A57" s="4" t="s">
        <v>116</v>
      </c>
      <c r="B57" s="22" t="n">
        <v>0.8</v>
      </c>
      <c r="C57" s="22" t="n">
        <v>0.8</v>
      </c>
      <c r="D57" s="22" t="n">
        <v>0.8</v>
      </c>
    </row>
    <row r="58" customFormat="false" ht="15" hidden="false" customHeight="false" outlineLevel="0" collapsed="false">
      <c r="A58" s="4" t="s">
        <v>117</v>
      </c>
      <c r="B58" s="6" t="n">
        <f aca="false">B51/B54</f>
        <v>46.7264670658683</v>
      </c>
      <c r="C58" s="6" t="n">
        <f aca="false">C51/C54</f>
        <v>80.035253164557</v>
      </c>
      <c r="D58" s="6" t="n">
        <f aca="false">D51/D54</f>
        <v>57.4231910569106</v>
      </c>
    </row>
    <row r="59" customFormat="false" ht="15" hidden="false" customHeight="false" outlineLevel="0" collapsed="false">
      <c r="A59" s="8" t="s">
        <v>118</v>
      </c>
      <c r="B59" s="6" t="n">
        <f aca="false">B58/B57</f>
        <v>58.4080838323353</v>
      </c>
      <c r="C59" s="6" t="n">
        <f aca="false">C58/C57</f>
        <v>100.044066455696</v>
      </c>
      <c r="D59" s="33" t="n">
        <f aca="false">D58/D57</f>
        <v>71.7789888211382</v>
      </c>
    </row>
    <row r="60" customFormat="false" ht="15" hidden="false" customHeight="false" outlineLevel="0" collapsed="false">
      <c r="A60" s="4" t="s">
        <v>119</v>
      </c>
      <c r="B60" s="6" t="n">
        <f aca="false">B51/B56</f>
        <v>58.2337313432836</v>
      </c>
      <c r="C60" s="6" t="n">
        <f aca="false">C51/C56</f>
        <v>92.9821323529412</v>
      </c>
      <c r="D60" s="6" t="n">
        <f aca="false">D51/D56</f>
        <v>69.9312128712871</v>
      </c>
    </row>
    <row r="61" customFormat="false" ht="15" hidden="false" customHeight="false" outlineLevel="0" collapsed="false">
      <c r="A61" s="8" t="s">
        <v>120</v>
      </c>
      <c r="B61" s="6" t="n">
        <f aca="false">B60/B57</f>
        <v>72.7921641791045</v>
      </c>
      <c r="C61" s="6" t="n">
        <f aca="false">C60/C57</f>
        <v>116.227665441176</v>
      </c>
      <c r="D61" s="33" t="n">
        <f aca="false">D60/D57</f>
        <v>87.4140160891089</v>
      </c>
    </row>
    <row r="62" customFormat="false" ht="15" hidden="false" customHeight="false" outlineLevel="0" collapsed="false">
      <c r="A62" s="2" t="s">
        <v>121</v>
      </c>
    </row>
    <row r="63" customFormat="false" ht="15" hidden="false" customHeight="false" outlineLevel="0" collapsed="false">
      <c r="A63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4" t="s">
        <v>125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3" t="n">
        <v>24</v>
      </c>
    </row>
    <row r="5" customFormat="false" ht="15" hidden="false" customHeight="false" outlineLevel="0" collapsed="false">
      <c r="A5" s="4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134</v>
      </c>
      <c r="J5" s="3" t="s">
        <v>135</v>
      </c>
      <c r="K5" s="3" t="s">
        <v>136</v>
      </c>
      <c r="L5" s="3" t="s">
        <v>137</v>
      </c>
      <c r="M5" s="3" t="s">
        <v>138</v>
      </c>
      <c r="N5" s="3" t="s">
        <v>139</v>
      </c>
      <c r="O5" s="3" t="s">
        <v>140</v>
      </c>
      <c r="P5" s="3" t="s">
        <v>141</v>
      </c>
      <c r="Q5" s="3" t="s">
        <v>142</v>
      </c>
      <c r="R5" s="3" t="s">
        <v>143</v>
      </c>
      <c r="S5" s="3" t="s">
        <v>144</v>
      </c>
      <c r="T5" s="3" t="s">
        <v>145</v>
      </c>
      <c r="U5" s="3" t="s">
        <v>146</v>
      </c>
      <c r="V5" s="3" t="s">
        <v>147</v>
      </c>
      <c r="W5" s="3" t="s">
        <v>148</v>
      </c>
      <c r="X5" s="3" t="s">
        <v>149</v>
      </c>
      <c r="Y5" s="3" t="s">
        <v>150</v>
      </c>
    </row>
    <row r="7" customFormat="false" ht="15" hidden="false" customHeight="false" outlineLevel="0" collapsed="false">
      <c r="A7" s="4" t="s">
        <v>110</v>
      </c>
      <c r="B7" s="5" t="n">
        <f aca="false">MIN(Plan_Supuestos!$B$20,Plan_Supuestos!$B$6*(1+Plan_Supuestos!$B$19)^(B$4-1))</f>
        <v>9000</v>
      </c>
      <c r="C7" s="5" t="n">
        <f aca="false">MIN(Plan_Supuestos!$B$20,Plan_Supuestos!$B$6*(1+Plan_Supuestos!$B$19)^(C$4-1))</f>
        <v>9720</v>
      </c>
      <c r="D7" s="5" t="n">
        <f aca="false">MIN(Plan_Supuestos!$B$20,Plan_Supuestos!$B$6*(1+Plan_Supuestos!$B$19)^(D$4-1))</f>
        <v>10497.6</v>
      </c>
      <c r="E7" s="5" t="n">
        <f aca="false">MIN(Plan_Supuestos!$B$20,Plan_Supuestos!$B$6*(1+Plan_Supuestos!$B$19)^(E$4-1))</f>
        <v>11337.408</v>
      </c>
      <c r="F7" s="5" t="n">
        <f aca="false">MIN(Plan_Supuestos!$B$20,Plan_Supuestos!$B$6*(1+Plan_Supuestos!$B$19)^(F$4-1))</f>
        <v>12244.40064</v>
      </c>
      <c r="G7" s="5" t="n">
        <f aca="false">MIN(Plan_Supuestos!$B$20,Plan_Supuestos!$B$6*(1+Plan_Supuestos!$B$19)^(G$4-1))</f>
        <v>13223.9526912</v>
      </c>
      <c r="H7" s="5" t="n">
        <f aca="false">MIN(Plan_Supuestos!$B$20,Plan_Supuestos!$B$6*(1+Plan_Supuestos!$B$19)^(H$4-1))</f>
        <v>14281.868906496</v>
      </c>
      <c r="I7" s="5" t="n">
        <f aca="false">MIN(Plan_Supuestos!$B$20,Plan_Supuestos!$B$6*(1+Plan_Supuestos!$B$19)^(I$4-1))</f>
        <v>15424.4184190157</v>
      </c>
      <c r="J7" s="5" t="n">
        <f aca="false">MIN(Plan_Supuestos!$B$20,Plan_Supuestos!$B$6*(1+Plan_Supuestos!$B$19)^(J$4-1))</f>
        <v>16658.3718925369</v>
      </c>
      <c r="K7" s="5" t="n">
        <f aca="false">MIN(Plan_Supuestos!$B$20,Plan_Supuestos!$B$6*(1+Plan_Supuestos!$B$19)^(K$4-1))</f>
        <v>17991.0416439399</v>
      </c>
      <c r="L7" s="5" t="n">
        <f aca="false">MIN(Plan_Supuestos!$B$20,Plan_Supuestos!$B$6*(1+Plan_Supuestos!$B$19)^(L$4-1))</f>
        <v>19430.3249754551</v>
      </c>
      <c r="M7" s="5" t="n">
        <f aca="false">MIN(Plan_Supuestos!$B$20,Plan_Supuestos!$B$6*(1+Plan_Supuestos!$B$19)^(M$4-1))</f>
        <v>20984.7509734915</v>
      </c>
      <c r="N7" s="5" t="n">
        <f aca="false">MIN(Plan_Supuestos!$B$20,Plan_Supuestos!$B$6*(1+Plan_Supuestos!$B$19)^(N$4-1))</f>
        <v>22663.5310513708</v>
      </c>
      <c r="O7" s="5" t="n">
        <f aca="false">MIN(Plan_Supuestos!$B$20,Plan_Supuestos!$B$6*(1+Plan_Supuestos!$B$19)^(O$4-1))</f>
        <v>24476.6135354805</v>
      </c>
      <c r="P7" s="5" t="n">
        <f aca="false">MIN(Plan_Supuestos!$B$20,Plan_Supuestos!$B$6*(1+Plan_Supuestos!$B$19)^(P$4-1))</f>
        <v>26434.7426183189</v>
      </c>
      <c r="Q7" s="5" t="n">
        <f aca="false">MIN(Plan_Supuestos!$B$20,Plan_Supuestos!$B$6*(1+Plan_Supuestos!$B$19)^(Q$4-1))</f>
        <v>28549.5220277845</v>
      </c>
      <c r="R7" s="5" t="n">
        <f aca="false">MIN(Plan_Supuestos!$B$20,Plan_Supuestos!$B$6*(1+Plan_Supuestos!$B$19)^(R$4-1))</f>
        <v>30833.4837900072</v>
      </c>
      <c r="S7" s="5" t="n">
        <f aca="false">MIN(Plan_Supuestos!$B$20,Plan_Supuestos!$B$6*(1+Plan_Supuestos!$B$19)^(S$4-1))</f>
        <v>33300.1624932078</v>
      </c>
      <c r="T7" s="5" t="n">
        <f aca="false">MIN(Plan_Supuestos!$B$20,Plan_Supuestos!$B$6*(1+Plan_Supuestos!$B$19)^(T$4-1))</f>
        <v>35964.1754926644</v>
      </c>
      <c r="U7" s="5" t="n">
        <f aca="false">MIN(Plan_Supuestos!$B$20,Plan_Supuestos!$B$6*(1+Plan_Supuestos!$B$19)^(U$4-1))</f>
        <v>38841.3095320776</v>
      </c>
      <c r="V7" s="5" t="n">
        <f aca="false">MIN(Plan_Supuestos!$B$20,Plan_Supuestos!$B$6*(1+Plan_Supuestos!$B$19)^(V$4-1))</f>
        <v>41948.6142946438</v>
      </c>
      <c r="W7" s="5" t="n">
        <f aca="false">MIN(Plan_Supuestos!$B$20,Plan_Supuestos!$B$6*(1+Plan_Supuestos!$B$19)^(W$4-1))</f>
        <v>45304.5034382153</v>
      </c>
      <c r="X7" s="5" t="n">
        <f aca="false">MIN(Plan_Supuestos!$B$20,Plan_Supuestos!$B$6*(1+Plan_Supuestos!$B$19)^(X$4-1))</f>
        <v>48928.8637132725</v>
      </c>
      <c r="Y7" s="5" t="n">
        <f aca="false">MIN(Plan_Supuestos!$B$20,Plan_Supuestos!$B$6*(1+Plan_Supuestos!$B$19)^(Y$4-1))</f>
        <v>52843.1728103343</v>
      </c>
    </row>
    <row r="8" customFormat="false" ht="15" hidden="false" customHeight="false" outlineLevel="0" collapsed="false">
      <c r="A8" s="4" t="s">
        <v>151</v>
      </c>
      <c r="B8" s="28" t="n">
        <f aca="false">MIN(Plan_Supuestos!$B$22,Plan_Supuestos!$B$21*(B$4-1))</f>
        <v>0</v>
      </c>
      <c r="C8" s="28" t="n">
        <f aca="false">MIN(Plan_Supuestos!$B$22,Plan_Supuestos!$B$21*(C$4-1))</f>
        <v>0.005</v>
      </c>
      <c r="D8" s="28" t="n">
        <f aca="false">MIN(Plan_Supuestos!$B$22,Plan_Supuestos!$B$21*(D$4-1))</f>
        <v>0.01</v>
      </c>
      <c r="E8" s="28" t="n">
        <f aca="false">MIN(Plan_Supuestos!$B$22,Plan_Supuestos!$B$21*(E$4-1))</f>
        <v>0.015</v>
      </c>
      <c r="F8" s="28" t="n">
        <f aca="false">MIN(Plan_Supuestos!$B$22,Plan_Supuestos!$B$21*(F$4-1))</f>
        <v>0.02</v>
      </c>
      <c r="G8" s="28" t="n">
        <f aca="false">MIN(Plan_Supuestos!$B$22,Plan_Supuestos!$B$21*(G$4-1))</f>
        <v>0.025</v>
      </c>
      <c r="H8" s="28" t="n">
        <f aca="false">MIN(Plan_Supuestos!$B$22,Plan_Supuestos!$B$21*(H$4-1))</f>
        <v>0.03</v>
      </c>
      <c r="I8" s="28" t="n">
        <f aca="false">MIN(Plan_Supuestos!$B$22,Plan_Supuestos!$B$21*(I$4-1))</f>
        <v>0.035</v>
      </c>
      <c r="J8" s="28" t="n">
        <f aca="false">MIN(Plan_Supuestos!$B$22,Plan_Supuestos!$B$21*(J$4-1))</f>
        <v>0.04</v>
      </c>
      <c r="K8" s="28" t="n">
        <f aca="false">MIN(Plan_Supuestos!$B$22,Plan_Supuestos!$B$21*(K$4-1))</f>
        <v>0.045</v>
      </c>
      <c r="L8" s="28" t="n">
        <f aca="false">MIN(Plan_Supuestos!$B$22,Plan_Supuestos!$B$21*(L$4-1))</f>
        <v>0.05</v>
      </c>
      <c r="M8" s="28" t="n">
        <f aca="false">MIN(Plan_Supuestos!$B$22,Plan_Supuestos!$B$21*(M$4-1))</f>
        <v>0.055</v>
      </c>
      <c r="N8" s="28" t="n">
        <f aca="false">MIN(Plan_Supuestos!$B$22,Plan_Supuestos!$B$21*(N$4-1))</f>
        <v>0.06</v>
      </c>
      <c r="O8" s="28" t="n">
        <f aca="false">MIN(Plan_Supuestos!$B$22,Plan_Supuestos!$B$21*(O$4-1))</f>
        <v>0.065</v>
      </c>
      <c r="P8" s="28" t="n">
        <f aca="false">MIN(Plan_Supuestos!$B$22,Plan_Supuestos!$B$21*(P$4-1))</f>
        <v>0.07</v>
      </c>
      <c r="Q8" s="28" t="n">
        <f aca="false">MIN(Plan_Supuestos!$B$22,Plan_Supuestos!$B$21*(Q$4-1))</f>
        <v>0.075</v>
      </c>
      <c r="R8" s="28" t="n">
        <f aca="false">MIN(Plan_Supuestos!$B$22,Plan_Supuestos!$B$21*(R$4-1))</f>
        <v>0.08</v>
      </c>
      <c r="S8" s="28" t="n">
        <f aca="false">MIN(Plan_Supuestos!$B$22,Plan_Supuestos!$B$21*(S$4-1))</f>
        <v>0.085</v>
      </c>
      <c r="T8" s="28" t="n">
        <f aca="false">MIN(Plan_Supuestos!$B$22,Plan_Supuestos!$B$21*(T$4-1))</f>
        <v>0.09</v>
      </c>
      <c r="U8" s="28" t="n">
        <f aca="false">MIN(Plan_Supuestos!$B$22,Plan_Supuestos!$B$21*(U$4-1))</f>
        <v>0.095</v>
      </c>
      <c r="V8" s="28" t="n">
        <f aca="false">MIN(Plan_Supuestos!$B$22,Plan_Supuestos!$B$21*(V$4-1))</f>
        <v>0.1</v>
      </c>
      <c r="W8" s="28" t="n">
        <f aca="false">MIN(Plan_Supuestos!$B$22,Plan_Supuestos!$B$21*(W$4-1))</f>
        <v>0.105</v>
      </c>
      <c r="X8" s="28" t="n">
        <f aca="false">MIN(Plan_Supuestos!$B$22,Plan_Supuestos!$B$21*(X$4-1))</f>
        <v>0.11</v>
      </c>
      <c r="Y8" s="28" t="n">
        <f aca="false">MIN(Plan_Supuestos!$B$22,Plan_Supuestos!$B$21*(Y$4-1))</f>
        <v>0.115</v>
      </c>
    </row>
    <row r="9" customFormat="false" ht="15" hidden="false" customHeight="false" outlineLevel="0" collapsed="false">
      <c r="A9" s="4" t="s">
        <v>152</v>
      </c>
      <c r="B9" s="6" t="n">
        <f aca="false">Plan_Supuestos!$B$17*(B7/Plan_Supuestos!$B$6)^Plan_Supuestos!$B$18*(1-B8)*SUMPRODUCT(B17:B22,Plan_Supuestos!$K$30:$K$35)</f>
        <v>77.6</v>
      </c>
      <c r="C9" s="6" t="n">
        <f aca="false">Plan_Supuestos!$B$17*(C7/Plan_Supuestos!$B$6)^Plan_Supuestos!$B$18*(1-C8)*SUMPRODUCT(C17:C22,Plan_Supuestos!$K$30:$K$35)</f>
        <v>79.3944143849256</v>
      </c>
      <c r="D9" s="6" t="n">
        <f aca="false">Plan_Supuestos!$B$17*(D7/Plan_Supuestos!$B$6)^Plan_Supuestos!$B$18*(1-D8)*SUMPRODUCT(D17:D22,Plan_Supuestos!$K$30:$K$35)</f>
        <v>81.2282001898841</v>
      </c>
      <c r="E9" s="6" t="n">
        <f aca="false">Plan_Supuestos!$B$17*(E7/Plan_Supuestos!$B$6)^Plan_Supuestos!$B$18*(1-E8)*SUMPRODUCT(E17:E22,Plan_Supuestos!$K$30:$K$35)</f>
        <v>83.1021487332491</v>
      </c>
      <c r="F9" s="6" t="n">
        <f aca="false">Plan_Supuestos!$B$17*(F7/Plan_Supuestos!$B$6)^Plan_Supuestos!$B$18*(1-F8)*SUMPRODUCT(F17:F22,Plan_Supuestos!$K$30:$K$35)</f>
        <v>85.0170646227424</v>
      </c>
      <c r="G9" s="6" t="n">
        <f aca="false">Plan_Supuestos!$B$17*(G7/Plan_Supuestos!$B$6)^Plan_Supuestos!$B$18*(1-G8)*SUMPRODUCT(G17:G22,Plan_Supuestos!$K$30:$K$35)</f>
        <v>86.9737658756101</v>
      </c>
      <c r="H9" s="6" t="n">
        <f aca="false">Plan_Supuestos!$B$17*(H7/Plan_Supuestos!$B$6)^Plan_Supuestos!$B$18*(1-H8)*SUMPRODUCT(H17:H22,Plan_Supuestos!$K$30:$K$35)</f>
        <v>88.9730840350277</v>
      </c>
      <c r="I9" s="6" t="n">
        <f aca="false">Plan_Supuestos!$B$17*(I7/Plan_Supuestos!$B$6)^Plan_Supuestos!$B$18*(1-I8)*SUMPRODUCT(I17:I22,Plan_Supuestos!$K$30:$K$35)</f>
        <v>91.0158642824281</v>
      </c>
      <c r="J9" s="6" t="n">
        <f aca="false">Plan_Supuestos!$B$17*(J7/Plan_Supuestos!$B$6)^Plan_Supuestos!$B$18*(1-J8)*SUMPRODUCT(J17:J22,Plan_Supuestos!$K$30:$K$35)</f>
        <v>93.1029655454301</v>
      </c>
      <c r="K9" s="6" t="n">
        <f aca="false">Plan_Supuestos!$B$17*(K7/Plan_Supuestos!$B$6)^Plan_Supuestos!$B$18*(1-K8)*SUMPRODUCT(K17:K22,Plan_Supuestos!$K$30:$K$35)</f>
        <v>95.2352606010319</v>
      </c>
      <c r="L9" s="6" t="n">
        <f aca="false">Plan_Supuestos!$B$17*(L7/Plan_Supuestos!$B$6)^Plan_Supuestos!$B$18*(1-L8)*SUMPRODUCT(L17:L22,Plan_Supuestos!$K$30:$K$35)</f>
        <v>97.413636173718</v>
      </c>
      <c r="M9" s="6" t="n">
        <f aca="false">Plan_Supuestos!$B$17*(M7/Plan_Supuestos!$B$6)^Plan_Supuestos!$B$18*(1-M8)*SUMPRODUCT(M17:M22,Plan_Supuestos!$K$30:$K$35)</f>
        <v>99.6389930281112</v>
      </c>
      <c r="N9" s="6" t="n">
        <f aca="false">Plan_Supuestos!$B$17*(N7/Plan_Supuestos!$B$6)^Plan_Supuestos!$B$18*(1-N8)*SUMPRODUCT(N17:N22,Plan_Supuestos!$K$30:$K$35)</f>
        <v>101.817795410693</v>
      </c>
      <c r="O9" s="6" t="n">
        <f aca="false">Plan_Supuestos!$B$17*(O7/Plan_Supuestos!$B$6)^Plan_Supuestos!$B$18*(1-O8)*SUMPRODUCT(O17:O22,Plan_Supuestos!$K$30:$K$35)</f>
        <v>104.041297829257</v>
      </c>
      <c r="P9" s="6" t="n">
        <f aca="false">Plan_Supuestos!$B$17*(P7/Plan_Supuestos!$B$6)^Plan_Supuestos!$B$18*(1-P8)*SUMPRODUCT(P17:P22,Plan_Supuestos!$K$30:$K$35)</f>
        <v>106.310316994359</v>
      </c>
      <c r="Q9" s="6" t="n">
        <f aca="false">Plan_Supuestos!$B$17*(Q7/Plan_Supuestos!$B$6)^Plan_Supuestos!$B$18*(1-Q8)*SUMPRODUCT(Q17:Q22,Plan_Supuestos!$K$30:$K$35)</f>
        <v>108.625680892503</v>
      </c>
      <c r="R9" s="6" t="n">
        <f aca="false">Plan_Supuestos!$B$17*(R7/Plan_Supuestos!$B$6)^Plan_Supuestos!$B$18*(1-R8)*SUMPRODUCT(R17:R22,Plan_Supuestos!$K$30:$K$35)</f>
        <v>110.988228793064</v>
      </c>
      <c r="S9" s="6" t="n">
        <f aca="false">Plan_Supuestos!$B$17*(S7/Plan_Supuestos!$B$6)^Plan_Supuestos!$B$18*(1-S8)*SUMPRODUCT(S17:S22,Plan_Supuestos!$K$30:$K$35)</f>
        <v>113.398811247192</v>
      </c>
      <c r="T9" s="6" t="n">
        <f aca="false">Plan_Supuestos!$B$17*(T7/Plan_Supuestos!$B$6)^Plan_Supuestos!$B$18*(1-T8)*SUMPRODUCT(T17:T22,Plan_Supuestos!$K$30:$K$35)</f>
        <v>115.858290078239</v>
      </c>
      <c r="U9" s="6" t="n">
        <f aca="false">Plan_Supuestos!$B$17*(U7/Plan_Supuestos!$B$6)^Plan_Supuestos!$B$18*(1-U8)*SUMPRODUCT(U17:U22,Plan_Supuestos!$K$30:$K$35)</f>
        <v>118.367538363257</v>
      </c>
      <c r="V9" s="6" t="n">
        <f aca="false">Plan_Supuestos!$B$17*(V7/Plan_Supuestos!$B$6)^Plan_Supuestos!$B$18*(1-V8)*SUMPRODUCT(V17:V22,Plan_Supuestos!$K$30:$K$35)</f>
        <v>120.927440405083</v>
      </c>
      <c r="W9" s="6" t="n">
        <f aca="false">Plan_Supuestos!$B$17*(W7/Plan_Supuestos!$B$6)^Plan_Supuestos!$B$18*(1-W8)*SUMPRODUCT(W17:W22,Plan_Supuestos!$K$30:$K$35)</f>
        <v>123.538891694507</v>
      </c>
      <c r="X9" s="6" t="n">
        <f aca="false">Plan_Supuestos!$B$17*(X7/Plan_Supuestos!$B$6)^Plan_Supuestos!$B$18*(1-X8)*SUMPRODUCT(X17:X22,Plan_Supuestos!$K$30:$K$35)</f>
        <v>126.202798862012</v>
      </c>
      <c r="Y9" s="6" t="n">
        <f aca="false">Plan_Supuestos!$B$17*(Y7/Plan_Supuestos!$B$6)^Plan_Supuestos!$B$18*(1-Y8)*SUMPRODUCT(Y17:Y22,Plan_Supuestos!$K$30:$K$35)</f>
        <v>128.920079618535</v>
      </c>
    </row>
    <row r="10" customFormat="false" ht="15" hidden="false" customHeight="false" outlineLevel="0" collapsed="false">
      <c r="A10" s="4" t="s">
        <v>153</v>
      </c>
      <c r="B10" s="5" t="n">
        <f aca="false">B7/B9</f>
        <v>115.979381443299</v>
      </c>
      <c r="C10" s="5" t="n">
        <f aca="false">C7/C9</f>
        <v>122.426748472189</v>
      </c>
      <c r="D10" s="5" t="n">
        <f aca="false">D7/D9</f>
        <v>129.235905454758</v>
      </c>
      <c r="E10" s="5" t="n">
        <f aca="false">E7/E9</f>
        <v>136.427374897274</v>
      </c>
      <c r="F10" s="5" t="n">
        <f aca="false">F7/F9</f>
        <v>144.022858167754</v>
      </c>
      <c r="G10" s="5" t="n">
        <f aca="false">G7/G9</f>
        <v>152.045304214065</v>
      </c>
      <c r="H10" s="5" t="n">
        <f aca="false">H7/H9</f>
        <v>160.518982357332</v>
      </c>
      <c r="I10" s="5" t="n">
        <f aca="false">I7/I9</f>
        <v>169.469559407278</v>
      </c>
      <c r="J10" s="5" t="n">
        <f aca="false">J7/J9</f>
        <v>178.924181361424</v>
      </c>
      <c r="K10" s="5" t="n">
        <f aca="false">K7/K9</f>
        <v>188.911559966319</v>
      </c>
      <c r="L10" s="5" t="n">
        <f aca="false">L7/L9</f>
        <v>199.462064436286</v>
      </c>
      <c r="M10" s="5" t="n">
        <f aca="false">M7/M9</f>
        <v>210.607818643561</v>
      </c>
      <c r="N10" s="5" t="n">
        <f aca="false">N7/N9</f>
        <v>222.589096139384</v>
      </c>
      <c r="O10" s="5" t="n">
        <f aca="false">O7/O9</f>
        <v>235.258633313565</v>
      </c>
      <c r="P10" s="5" t="n">
        <f aca="false">P7/P9</f>
        <v>248.656417981723</v>
      </c>
      <c r="Q10" s="5" t="n">
        <f aca="false">Q7/Q9</f>
        <v>262.824792380701</v>
      </c>
      <c r="R10" s="5" t="n">
        <f aca="false">R7/R9</f>
        <v>277.808593986087</v>
      </c>
      <c r="S10" s="5" t="n">
        <f aca="false">S7/S9</f>
        <v>293.655304909842</v>
      </c>
      <c r="T10" s="5" t="n">
        <f aca="false">T7/T9</f>
        <v>310.415210412461</v>
      </c>
      <c r="U10" s="5" t="n">
        <f aca="false">U7/U9</f>
        <v>328.141567098217</v>
      </c>
      <c r="V10" s="5" t="n">
        <f aca="false">V7/V9</f>
        <v>346.890781398533</v>
      </c>
      <c r="W10" s="5" t="n">
        <f aca="false">W7/W9</f>
        <v>366.722598987261</v>
      </c>
      <c r="X10" s="5" t="n">
        <f aca="false">X7/X9</f>
        <v>387.700305813111</v>
      </c>
      <c r="Y10" s="5" t="n">
        <f aca="false">Y7/Y9</f>
        <v>409.890941478576</v>
      </c>
    </row>
    <row r="11" customFormat="false" ht="15" hidden="false" customHeight="false" outlineLevel="0" collapsed="false">
      <c r="A11" s="4" t="s">
        <v>154</v>
      </c>
      <c r="B11" s="5" t="n">
        <f aca="false">B10*Plan_Supuestos!$B$23</f>
        <v>11.5979381443299</v>
      </c>
      <c r="C11" s="5" t="n">
        <f aca="false">C10*Plan_Supuestos!$B$23</f>
        <v>12.2426748472189</v>
      </c>
      <c r="D11" s="5" t="n">
        <f aca="false">D10*Plan_Supuestos!$B$23</f>
        <v>12.9235905454758</v>
      </c>
      <c r="E11" s="5" t="n">
        <f aca="false">E10*Plan_Supuestos!$B$23</f>
        <v>13.6427374897274</v>
      </c>
      <c r="F11" s="5" t="n">
        <f aca="false">F10*Plan_Supuestos!$B$23</f>
        <v>14.4022858167754</v>
      </c>
      <c r="G11" s="5" t="n">
        <f aca="false">G10*Plan_Supuestos!$B$23</f>
        <v>15.2045304214065</v>
      </c>
      <c r="H11" s="5" t="n">
        <f aca="false">H10*Plan_Supuestos!$B$23</f>
        <v>16.0518982357332</v>
      </c>
      <c r="I11" s="5" t="n">
        <f aca="false">I10*Plan_Supuestos!$B$23</f>
        <v>16.9469559407278</v>
      </c>
      <c r="J11" s="5" t="n">
        <f aca="false">J10*Plan_Supuestos!$B$23</f>
        <v>17.8924181361424</v>
      </c>
      <c r="K11" s="5" t="n">
        <f aca="false">K10*Plan_Supuestos!$B$23</f>
        <v>18.8911559966319</v>
      </c>
      <c r="L11" s="5" t="n">
        <f aca="false">L10*Plan_Supuestos!$B$23</f>
        <v>19.9462064436286</v>
      </c>
      <c r="M11" s="5" t="n">
        <f aca="false">M10*Plan_Supuestos!$B$23</f>
        <v>21.0607818643561</v>
      </c>
      <c r="N11" s="5" t="n">
        <f aca="false">N10*Plan_Supuestos!$B$23</f>
        <v>22.2589096139384</v>
      </c>
      <c r="O11" s="5" t="n">
        <f aca="false">O10*Plan_Supuestos!$B$23</f>
        <v>23.5258633313565</v>
      </c>
      <c r="P11" s="5" t="n">
        <f aca="false">P10*Plan_Supuestos!$B$23</f>
        <v>24.8656417981723</v>
      </c>
      <c r="Q11" s="5" t="n">
        <f aca="false">Q10*Plan_Supuestos!$B$23</f>
        <v>26.2824792380701</v>
      </c>
      <c r="R11" s="5" t="n">
        <f aca="false">R10*Plan_Supuestos!$B$23</f>
        <v>27.7808593986087</v>
      </c>
      <c r="S11" s="5" t="n">
        <f aca="false">S10*Plan_Supuestos!$B$23</f>
        <v>29.3655304909842</v>
      </c>
      <c r="T11" s="5" t="n">
        <f aca="false">T10*Plan_Supuestos!$B$23</f>
        <v>31.0415210412461</v>
      </c>
      <c r="U11" s="5" t="n">
        <f aca="false">U10*Plan_Supuestos!$B$23</f>
        <v>32.8141567098217</v>
      </c>
      <c r="V11" s="5" t="n">
        <f aca="false">V10*Plan_Supuestos!$B$23</f>
        <v>34.6890781398533</v>
      </c>
      <c r="W11" s="5" t="n">
        <f aca="false">W10*Plan_Supuestos!$B$23</f>
        <v>36.6722598987261</v>
      </c>
      <c r="X11" s="5" t="n">
        <f aca="false">X10*Plan_Supuestos!$B$23</f>
        <v>38.7700305813111</v>
      </c>
      <c r="Y11" s="5" t="n">
        <f aca="false">Y10*Plan_Supuestos!$B$23</f>
        <v>40.9890941478576</v>
      </c>
    </row>
    <row r="12" customFormat="false" ht="15" hidden="false" customHeight="false" outlineLevel="0" collapsed="false">
      <c r="A12" s="8" t="s">
        <v>155</v>
      </c>
      <c r="B12" s="18" t="n">
        <f aca="false">B10+B11</f>
        <v>127.577319587629</v>
      </c>
      <c r="C12" s="18" t="n">
        <f aca="false">C10+C11</f>
        <v>134.669423319408</v>
      </c>
      <c r="D12" s="18" t="n">
        <f aca="false">D10+D11</f>
        <v>142.159496000234</v>
      </c>
      <c r="E12" s="18" t="n">
        <f aca="false">E10+E11</f>
        <v>150.070112387001</v>
      </c>
      <c r="F12" s="18" t="n">
        <f aca="false">F10+F11</f>
        <v>158.425143984529</v>
      </c>
      <c r="G12" s="18" t="n">
        <f aca="false">G10+G11</f>
        <v>167.249834635472</v>
      </c>
      <c r="H12" s="18" t="n">
        <f aca="false">H10+H11</f>
        <v>176.570880593065</v>
      </c>
      <c r="I12" s="18" t="n">
        <f aca="false">I10+I11</f>
        <v>186.416515348006</v>
      </c>
      <c r="J12" s="18" t="n">
        <f aca="false">J10+J11</f>
        <v>196.816599497566</v>
      </c>
      <c r="K12" s="18" t="n">
        <f aca="false">K10+K11</f>
        <v>207.802715962951</v>
      </c>
      <c r="L12" s="18" t="n">
        <f aca="false">L10+L11</f>
        <v>219.408270879915</v>
      </c>
      <c r="M12" s="18" t="n">
        <f aca="false">M10+M11</f>
        <v>231.668600507917</v>
      </c>
      <c r="N12" s="18" t="n">
        <f aca="false">N10+N11</f>
        <v>244.848005753323</v>
      </c>
      <c r="O12" s="18" t="n">
        <f aca="false">O10+O11</f>
        <v>258.784496644921</v>
      </c>
      <c r="P12" s="18" t="n">
        <f aca="false">P10+P11</f>
        <v>273.522059779896</v>
      </c>
      <c r="Q12" s="18" t="n">
        <f aca="false">Q10+Q11</f>
        <v>289.107271618772</v>
      </c>
      <c r="R12" s="18" t="n">
        <f aca="false">R10+R11</f>
        <v>305.589453384695</v>
      </c>
      <c r="S12" s="18" t="n">
        <f aca="false">S10+S11</f>
        <v>323.020835400827</v>
      </c>
      <c r="T12" s="18" t="n">
        <f aca="false">T10+T11</f>
        <v>341.456731453707</v>
      </c>
      <c r="U12" s="18" t="n">
        <f aca="false">U10+U11</f>
        <v>360.955723808039</v>
      </c>
      <c r="V12" s="18" t="n">
        <f aca="false">V10+V11</f>
        <v>381.579859538386</v>
      </c>
      <c r="W12" s="18" t="n">
        <f aca="false">W10+W11</f>
        <v>403.394858885987</v>
      </c>
      <c r="X12" s="18" t="n">
        <f aca="false">X10+X11</f>
        <v>426.470336394422</v>
      </c>
      <c r="Y12" s="18" t="n">
        <f aca="false">Y10+Y11</f>
        <v>450.880035626434</v>
      </c>
    </row>
    <row r="13" customFormat="false" ht="15" hidden="false" customHeight="false" outlineLevel="0" collapsed="false">
      <c r="A13" s="4" t="s">
        <v>156</v>
      </c>
      <c r="B13" s="7" t="n">
        <f aca="false">B12/30</f>
        <v>4.25257731958763</v>
      </c>
      <c r="C13" s="7" t="n">
        <f aca="false">C12/30</f>
        <v>4.48898077731359</v>
      </c>
      <c r="D13" s="7" t="n">
        <f aca="false">D12/30</f>
        <v>4.73864986667445</v>
      </c>
      <c r="E13" s="7" t="n">
        <f aca="false">E12/30</f>
        <v>5.00233707956671</v>
      </c>
      <c r="F13" s="7" t="n">
        <f aca="false">F12/30</f>
        <v>5.28083813281764</v>
      </c>
      <c r="G13" s="7" t="n">
        <f aca="false">G12/30</f>
        <v>5.57499448784905</v>
      </c>
      <c r="H13" s="7" t="n">
        <f aca="false">H12/30</f>
        <v>5.88569601976883</v>
      </c>
      <c r="I13" s="7" t="n">
        <f aca="false">I12/30</f>
        <v>6.21388384493352</v>
      </c>
      <c r="J13" s="7" t="n">
        <f aca="false">J12/30</f>
        <v>6.56055331658555</v>
      </c>
      <c r="K13" s="7" t="n">
        <f aca="false">K12/30</f>
        <v>6.92675719876505</v>
      </c>
      <c r="L13" s="7" t="n">
        <f aca="false">L12/30</f>
        <v>7.3136090293305</v>
      </c>
      <c r="M13" s="7" t="n">
        <f aca="false">M12/30</f>
        <v>7.72228668359724</v>
      </c>
      <c r="N13" s="7" t="n">
        <f aca="false">N12/30</f>
        <v>8.16160019177742</v>
      </c>
      <c r="O13" s="7" t="n">
        <f aca="false">O12/30</f>
        <v>8.62614988816404</v>
      </c>
      <c r="P13" s="7" t="n">
        <f aca="false">P12/30</f>
        <v>9.11740199266319</v>
      </c>
      <c r="Q13" s="7" t="n">
        <f aca="false">Q12/30</f>
        <v>9.63690905395905</v>
      </c>
      <c r="R13" s="7" t="n">
        <f aca="false">R12/30</f>
        <v>10.1863151128232</v>
      </c>
      <c r="S13" s="7" t="n">
        <f aca="false">S12/30</f>
        <v>10.7673611800276</v>
      </c>
      <c r="T13" s="7" t="n">
        <f aca="false">T12/30</f>
        <v>11.3818910484569</v>
      </c>
      <c r="U13" s="7" t="n">
        <f aca="false">U12/30</f>
        <v>12.031857460268</v>
      </c>
      <c r="V13" s="7" t="n">
        <f aca="false">V12/30</f>
        <v>12.7193286512795</v>
      </c>
      <c r="W13" s="7" t="n">
        <f aca="false">W12/30</f>
        <v>13.4464952961996</v>
      </c>
      <c r="X13" s="7" t="n">
        <f aca="false">X12/30</f>
        <v>14.2156778798141</v>
      </c>
      <c r="Y13" s="7" t="n">
        <f aca="false">Y12/30</f>
        <v>15.0293345208811</v>
      </c>
    </row>
    <row r="14" customFormat="false" ht="15" hidden="false" customHeight="false" outlineLevel="0" collapsed="false">
      <c r="A14" s="4" t="s">
        <v>157</v>
      </c>
      <c r="B14" s="5" t="n">
        <f aca="false">Plan_Supuestos!$B$24*IF(B$4&gt;12,INDEX($B12:$Y12,B$4-12),Plan_Supuestos!$B$7)</f>
        <v>4.8</v>
      </c>
      <c r="C14" s="5" t="n">
        <f aca="false">Plan_Supuestos!$B$24*IF(C$4&gt;12,INDEX($B12:$Y12,C$4-12),Plan_Supuestos!$B$7)</f>
        <v>4.8</v>
      </c>
      <c r="D14" s="5" t="n">
        <f aca="false">Plan_Supuestos!$B$24*IF(D$4&gt;12,INDEX($B12:$Y12,D$4-12),Plan_Supuestos!$B$7)</f>
        <v>4.8</v>
      </c>
      <c r="E14" s="5" t="n">
        <f aca="false">Plan_Supuestos!$B$24*IF(E$4&gt;12,INDEX($B12:$Y12,E$4-12),Plan_Supuestos!$B$7)</f>
        <v>4.8</v>
      </c>
      <c r="F14" s="5" t="n">
        <f aca="false">Plan_Supuestos!$B$24*IF(F$4&gt;12,INDEX($B12:$Y12,F$4-12),Plan_Supuestos!$B$7)</f>
        <v>4.8</v>
      </c>
      <c r="G14" s="5" t="n">
        <f aca="false">Plan_Supuestos!$B$24*IF(G$4&gt;12,INDEX($B12:$Y12,G$4-12),Plan_Supuestos!$B$7)</f>
        <v>4.8</v>
      </c>
      <c r="H14" s="5" t="n">
        <f aca="false">Plan_Supuestos!$B$24*IF(H$4&gt;12,INDEX($B12:$Y12,H$4-12),Plan_Supuestos!$B$7)</f>
        <v>4.8</v>
      </c>
      <c r="I14" s="5" t="n">
        <f aca="false">Plan_Supuestos!$B$24*IF(I$4&gt;12,INDEX($B12:$Y12,I$4-12),Plan_Supuestos!$B$7)</f>
        <v>4.8</v>
      </c>
      <c r="J14" s="5" t="n">
        <f aca="false">Plan_Supuestos!$B$24*IF(J$4&gt;12,INDEX($B12:$Y12,J$4-12),Plan_Supuestos!$B$7)</f>
        <v>4.8</v>
      </c>
      <c r="K14" s="5" t="n">
        <f aca="false">Plan_Supuestos!$B$24*IF(K$4&gt;12,INDEX($B12:$Y12,K$4-12),Plan_Supuestos!$B$7)</f>
        <v>4.8</v>
      </c>
      <c r="L14" s="5" t="n">
        <f aca="false">Plan_Supuestos!$B$24*IF(L$4&gt;12,INDEX($B12:$Y12,L$4-12),Plan_Supuestos!$B$7)</f>
        <v>4.8</v>
      </c>
      <c r="M14" s="5" t="n">
        <f aca="false">Plan_Supuestos!$B$24*IF(M$4&gt;12,INDEX($B12:$Y12,M$4-12),Plan_Supuestos!$B$7)</f>
        <v>4.8</v>
      </c>
      <c r="N14" s="5" t="n">
        <f aca="false">Plan_Supuestos!$B$24*IF(N$4&gt;12,INDEX($B12:$Y12,N$4-12),Plan_Supuestos!$B$7)</f>
        <v>10.2061855670103</v>
      </c>
      <c r="O14" s="5" t="n">
        <f aca="false">Plan_Supuestos!$B$24*IF(O$4&gt;12,INDEX($B12:$Y12,O$4-12),Plan_Supuestos!$B$7)</f>
        <v>10.7735538655526</v>
      </c>
      <c r="P14" s="5" t="n">
        <f aca="false">Plan_Supuestos!$B$24*IF(P$4&gt;12,INDEX($B12:$Y12,P$4-12),Plan_Supuestos!$B$7)</f>
        <v>11.3727596800187</v>
      </c>
      <c r="Q14" s="5" t="n">
        <f aca="false">Plan_Supuestos!$B$24*IF(Q$4&gt;12,INDEX($B12:$Y12,Q$4-12),Plan_Supuestos!$B$7)</f>
        <v>12.0056089909601</v>
      </c>
      <c r="R14" s="5" t="n">
        <f aca="false">Plan_Supuestos!$B$24*IF(R$4&gt;12,INDEX($B12:$Y12,R$4-12),Plan_Supuestos!$B$7)</f>
        <v>12.6740115187623</v>
      </c>
      <c r="S14" s="5" t="n">
        <f aca="false">Plan_Supuestos!$B$24*IF(S$4&gt;12,INDEX($B12:$Y12,S$4-12),Plan_Supuestos!$B$7)</f>
        <v>13.3799867708377</v>
      </c>
      <c r="T14" s="5" t="n">
        <f aca="false">Plan_Supuestos!$B$24*IF(T$4&gt;12,INDEX($B12:$Y12,T$4-12),Plan_Supuestos!$B$7)</f>
        <v>14.1256704474452</v>
      </c>
      <c r="U14" s="5" t="n">
        <f aca="false">Plan_Supuestos!$B$24*IF(U$4&gt;12,INDEX($B12:$Y12,U$4-12),Plan_Supuestos!$B$7)</f>
        <v>14.9133212278405</v>
      </c>
      <c r="V14" s="5" t="n">
        <f aca="false">Plan_Supuestos!$B$24*IF(V$4&gt;12,INDEX($B12:$Y12,V$4-12),Plan_Supuestos!$B$7)</f>
        <v>15.7453279598053</v>
      </c>
      <c r="W14" s="5" t="n">
        <f aca="false">Plan_Supuestos!$B$24*IF(W$4&gt;12,INDEX($B12:$Y12,W$4-12),Plan_Supuestos!$B$7)</f>
        <v>16.6242172770361</v>
      </c>
      <c r="X14" s="5" t="n">
        <f aca="false">Plan_Supuestos!$B$24*IF(X$4&gt;12,INDEX($B12:$Y12,X$4-12),Plan_Supuestos!$B$7)</f>
        <v>17.5526616703932</v>
      </c>
      <c r="Y14" s="5" t="n">
        <f aca="false">Plan_Supuestos!$B$24*IF(Y$4&gt;12,INDEX($B12:$Y12,Y$4-12),Plan_Supuestos!$B$7)</f>
        <v>18.5334880406334</v>
      </c>
    </row>
    <row r="15" customFormat="false" ht="15" hidden="false" customHeight="false" outlineLevel="0" collapsed="false">
      <c r="A15" s="4" t="s">
        <v>158</v>
      </c>
      <c r="B15" s="5" t="n">
        <f aca="false">B12+B14</f>
        <v>132.377319587629</v>
      </c>
      <c r="C15" s="5" t="n">
        <f aca="false">C12+C14</f>
        <v>139.469423319408</v>
      </c>
      <c r="D15" s="5" t="n">
        <f aca="false">D12+D14</f>
        <v>146.959496000234</v>
      </c>
      <c r="E15" s="5" t="n">
        <f aca="false">E12+E14</f>
        <v>154.870112387001</v>
      </c>
      <c r="F15" s="5" t="n">
        <f aca="false">F12+F14</f>
        <v>163.225143984529</v>
      </c>
      <c r="G15" s="5" t="n">
        <f aca="false">G12+G14</f>
        <v>172.049834635472</v>
      </c>
      <c r="H15" s="5" t="n">
        <f aca="false">H12+H14</f>
        <v>181.370880593065</v>
      </c>
      <c r="I15" s="5" t="n">
        <f aca="false">I12+I14</f>
        <v>191.216515348006</v>
      </c>
      <c r="J15" s="5" t="n">
        <f aca="false">J12+J14</f>
        <v>201.616599497566</v>
      </c>
      <c r="K15" s="5" t="n">
        <f aca="false">K12+K14</f>
        <v>212.602715962951</v>
      </c>
      <c r="L15" s="5" t="n">
        <f aca="false">L12+L14</f>
        <v>224.208270879915</v>
      </c>
      <c r="M15" s="5" t="n">
        <f aca="false">M12+M14</f>
        <v>236.468600507917</v>
      </c>
      <c r="N15" s="5" t="n">
        <f aca="false">N12+N14</f>
        <v>255.054191320333</v>
      </c>
      <c r="O15" s="5" t="n">
        <f aca="false">O12+O14</f>
        <v>269.558050510474</v>
      </c>
      <c r="P15" s="5" t="n">
        <f aca="false">P12+P14</f>
        <v>284.894819459914</v>
      </c>
      <c r="Q15" s="5" t="n">
        <f aca="false">Q12+Q14</f>
        <v>301.112880609732</v>
      </c>
      <c r="R15" s="5" t="n">
        <f aca="false">R12+R14</f>
        <v>318.263464903458</v>
      </c>
      <c r="S15" s="5" t="n">
        <f aca="false">S12+S14</f>
        <v>336.400822171664</v>
      </c>
      <c r="T15" s="5" t="n">
        <f aca="false">T12+T14</f>
        <v>355.582401901152</v>
      </c>
      <c r="U15" s="5" t="n">
        <f aca="false">U12+U14</f>
        <v>375.869045035879</v>
      </c>
      <c r="V15" s="5" t="n">
        <f aca="false">V12+V14</f>
        <v>397.325187498192</v>
      </c>
      <c r="W15" s="5" t="n">
        <f aca="false">W12+W14</f>
        <v>420.019076163023</v>
      </c>
      <c r="X15" s="5" t="n">
        <f aca="false">X12+X14</f>
        <v>444.022998064816</v>
      </c>
      <c r="Y15" s="5" t="n">
        <f aca="false">Y12+Y14</f>
        <v>469.413523667067</v>
      </c>
    </row>
    <row r="16" customFormat="false" ht="15" hidden="false" customHeight="false" outlineLevel="0" collapsed="false">
      <c r="A16" s="4" t="s">
        <v>159</v>
      </c>
      <c r="B16" s="28" t="n">
        <f aca="false">MIN(1,(B$4-1)/11)</f>
        <v>0</v>
      </c>
      <c r="C16" s="28" t="n">
        <f aca="false">MIN(1,(C$4-1)/11)</f>
        <v>0.0909090909090909</v>
      </c>
      <c r="D16" s="28" t="n">
        <f aca="false">MIN(1,(D$4-1)/11)</f>
        <v>0.181818181818182</v>
      </c>
      <c r="E16" s="28" t="n">
        <f aca="false">MIN(1,(E$4-1)/11)</f>
        <v>0.272727272727273</v>
      </c>
      <c r="F16" s="28" t="n">
        <f aca="false">MIN(1,(F$4-1)/11)</f>
        <v>0.363636363636364</v>
      </c>
      <c r="G16" s="28" t="n">
        <f aca="false">MIN(1,(G$4-1)/11)</f>
        <v>0.454545454545455</v>
      </c>
      <c r="H16" s="28" t="n">
        <f aca="false">MIN(1,(H$4-1)/11)</f>
        <v>0.545454545454545</v>
      </c>
      <c r="I16" s="28" t="n">
        <f aca="false">MIN(1,(I$4-1)/11)</f>
        <v>0.636363636363636</v>
      </c>
      <c r="J16" s="28" t="n">
        <f aca="false">MIN(1,(J$4-1)/11)</f>
        <v>0.727272727272727</v>
      </c>
      <c r="K16" s="28" t="n">
        <f aca="false">MIN(1,(K$4-1)/11)</f>
        <v>0.818181818181818</v>
      </c>
      <c r="L16" s="28" t="n">
        <f aca="false">MIN(1,(L$4-1)/11)</f>
        <v>0.909090909090909</v>
      </c>
      <c r="M16" s="28" t="n">
        <f aca="false">MIN(1,(M$4-1)/11)</f>
        <v>1</v>
      </c>
      <c r="N16" s="28" t="n">
        <f aca="false">MIN(1,(N$4-1)/11)</f>
        <v>1</v>
      </c>
      <c r="O16" s="28" t="n">
        <f aca="false">MIN(1,(O$4-1)/11)</f>
        <v>1</v>
      </c>
      <c r="P16" s="28" t="n">
        <f aca="false">MIN(1,(P$4-1)/11)</f>
        <v>1</v>
      </c>
      <c r="Q16" s="28" t="n">
        <f aca="false">MIN(1,(Q$4-1)/11)</f>
        <v>1</v>
      </c>
      <c r="R16" s="28" t="n">
        <f aca="false">MIN(1,(R$4-1)/11)</f>
        <v>1</v>
      </c>
      <c r="S16" s="28" t="n">
        <f aca="false">MIN(1,(S$4-1)/11)</f>
        <v>1</v>
      </c>
      <c r="T16" s="28" t="n">
        <f aca="false">MIN(1,(T$4-1)/11)</f>
        <v>1</v>
      </c>
      <c r="U16" s="28" t="n">
        <f aca="false">MIN(1,(U$4-1)/11)</f>
        <v>1</v>
      </c>
      <c r="V16" s="28" t="n">
        <f aca="false">MIN(1,(V$4-1)/11)</f>
        <v>1</v>
      </c>
      <c r="W16" s="28" t="n">
        <f aca="false">MIN(1,(W$4-1)/11)</f>
        <v>1</v>
      </c>
      <c r="X16" s="28" t="n">
        <f aca="false">MIN(1,(X$4-1)/11)</f>
        <v>1</v>
      </c>
      <c r="Y16" s="28" t="n">
        <f aca="false">MIN(1,(Y$4-1)/11)</f>
        <v>1</v>
      </c>
    </row>
    <row r="17" customFormat="false" ht="15" hidden="false" customHeight="false" outlineLevel="0" collapsed="false">
      <c r="A17" s="4" t="s">
        <v>160</v>
      </c>
      <c r="B17" s="28" t="n">
        <f aca="false">1-SUM(B18:B22)</f>
        <v>0.82</v>
      </c>
      <c r="C17" s="28" t="n">
        <f aca="false">1-SUM(C18:C22)</f>
        <v>0.813636363636364</v>
      </c>
      <c r="D17" s="28" t="n">
        <f aca="false">1-SUM(D18:D22)</f>
        <v>0.807272727272727</v>
      </c>
      <c r="E17" s="28" t="n">
        <f aca="false">1-SUM(E18:E22)</f>
        <v>0.800909090909091</v>
      </c>
      <c r="F17" s="28" t="n">
        <f aca="false">1-SUM(F18:F22)</f>
        <v>0.794545454545455</v>
      </c>
      <c r="G17" s="28" t="n">
        <f aca="false">1-SUM(G18:G22)</f>
        <v>0.788181818181818</v>
      </c>
      <c r="H17" s="28" t="n">
        <f aca="false">1-SUM(H18:H22)</f>
        <v>0.781818181818182</v>
      </c>
      <c r="I17" s="28" t="n">
        <f aca="false">1-SUM(I18:I22)</f>
        <v>0.775454545454545</v>
      </c>
      <c r="J17" s="28" t="n">
        <f aca="false">1-SUM(J18:J22)</f>
        <v>0.769090909090909</v>
      </c>
      <c r="K17" s="28" t="n">
        <f aca="false">1-SUM(K18:K22)</f>
        <v>0.762727272727273</v>
      </c>
      <c r="L17" s="28" t="n">
        <f aca="false">1-SUM(L18:L22)</f>
        <v>0.756363636363636</v>
      </c>
      <c r="M17" s="28" t="n">
        <f aca="false">1-SUM(M18:M22)</f>
        <v>0.75</v>
      </c>
      <c r="N17" s="28" t="n">
        <f aca="false">1-SUM(N18:N22)</f>
        <v>0.75</v>
      </c>
      <c r="O17" s="28" t="n">
        <f aca="false">1-SUM(O18:O22)</f>
        <v>0.75</v>
      </c>
      <c r="P17" s="28" t="n">
        <f aca="false">1-SUM(P18:P22)</f>
        <v>0.75</v>
      </c>
      <c r="Q17" s="28" t="n">
        <f aca="false">1-SUM(Q18:Q22)</f>
        <v>0.75</v>
      </c>
      <c r="R17" s="28" t="n">
        <f aca="false">1-SUM(R18:R22)</f>
        <v>0.75</v>
      </c>
      <c r="S17" s="28" t="n">
        <f aca="false">1-SUM(S18:S22)</f>
        <v>0.75</v>
      </c>
      <c r="T17" s="28" t="n">
        <f aca="false">1-SUM(T18:T22)</f>
        <v>0.75</v>
      </c>
      <c r="U17" s="28" t="n">
        <f aca="false">1-SUM(U18:U22)</f>
        <v>0.75</v>
      </c>
      <c r="V17" s="28" t="n">
        <f aca="false">1-SUM(V18:V22)</f>
        <v>0.75</v>
      </c>
      <c r="W17" s="28" t="n">
        <f aca="false">1-SUM(W18:W22)</f>
        <v>0.75</v>
      </c>
      <c r="X17" s="28" t="n">
        <f aca="false">1-SUM(X18:X22)</f>
        <v>0.75</v>
      </c>
      <c r="Y17" s="28" t="n">
        <f aca="false">1-SUM(Y18:Y22)</f>
        <v>0.75</v>
      </c>
    </row>
    <row r="18" customFormat="false" ht="15" hidden="false" customHeight="false" outlineLevel="0" collapsed="false">
      <c r="A18" s="4" t="s">
        <v>161</v>
      </c>
      <c r="B18" s="28" t="n">
        <f aca="false">Plan_Supuestos!$G$31+(Plan_Supuestos!$H$31-Plan_Supuestos!$G$31)*B16</f>
        <v>0.08</v>
      </c>
      <c r="C18" s="28" t="n">
        <f aca="false">Plan_Supuestos!$G$31+(Plan_Supuestos!$H$31-Plan_Supuestos!$G$31)*C16</f>
        <v>0.0772727272727273</v>
      </c>
      <c r="D18" s="28" t="n">
        <f aca="false">Plan_Supuestos!$G$31+(Plan_Supuestos!$H$31-Plan_Supuestos!$G$31)*D16</f>
        <v>0.0745454545454546</v>
      </c>
      <c r="E18" s="28" t="n">
        <f aca="false">Plan_Supuestos!$G$31+(Plan_Supuestos!$H$31-Plan_Supuestos!$G$31)*E16</f>
        <v>0.0718181818181818</v>
      </c>
      <c r="F18" s="28" t="n">
        <f aca="false">Plan_Supuestos!$G$31+(Plan_Supuestos!$H$31-Plan_Supuestos!$G$31)*F16</f>
        <v>0.0690909090909091</v>
      </c>
      <c r="G18" s="28" t="n">
        <f aca="false">Plan_Supuestos!$G$31+(Plan_Supuestos!$H$31-Plan_Supuestos!$G$31)*G16</f>
        <v>0.0663636363636364</v>
      </c>
      <c r="H18" s="28" t="n">
        <f aca="false">Plan_Supuestos!$G$31+(Plan_Supuestos!$H$31-Plan_Supuestos!$G$31)*H16</f>
        <v>0.0636363636363636</v>
      </c>
      <c r="I18" s="28" t="n">
        <f aca="false">Plan_Supuestos!$G$31+(Plan_Supuestos!$H$31-Plan_Supuestos!$G$31)*I16</f>
        <v>0.0609090909090909</v>
      </c>
      <c r="J18" s="28" t="n">
        <f aca="false">Plan_Supuestos!$G$31+(Plan_Supuestos!$H$31-Plan_Supuestos!$G$31)*J16</f>
        <v>0.0581818181818182</v>
      </c>
      <c r="K18" s="28" t="n">
        <f aca="false">Plan_Supuestos!$G$31+(Plan_Supuestos!$H$31-Plan_Supuestos!$G$31)*K16</f>
        <v>0.0554545454545455</v>
      </c>
      <c r="L18" s="28" t="n">
        <f aca="false">Plan_Supuestos!$G$31+(Plan_Supuestos!$H$31-Plan_Supuestos!$G$31)*L16</f>
        <v>0.0527272727272727</v>
      </c>
      <c r="M18" s="28" t="n">
        <f aca="false">Plan_Supuestos!$G$31+(Plan_Supuestos!$H$31-Plan_Supuestos!$G$31)*M16</f>
        <v>0.05</v>
      </c>
      <c r="N18" s="28" t="n">
        <f aca="false">Plan_Supuestos!$G$31+(Plan_Supuestos!$H$31-Plan_Supuestos!$G$31)*N16</f>
        <v>0.05</v>
      </c>
      <c r="O18" s="28" t="n">
        <f aca="false">Plan_Supuestos!$G$31+(Plan_Supuestos!$H$31-Plan_Supuestos!$G$31)*O16</f>
        <v>0.05</v>
      </c>
      <c r="P18" s="28" t="n">
        <f aca="false">Plan_Supuestos!$G$31+(Plan_Supuestos!$H$31-Plan_Supuestos!$G$31)*P16</f>
        <v>0.05</v>
      </c>
      <c r="Q18" s="28" t="n">
        <f aca="false">Plan_Supuestos!$G$31+(Plan_Supuestos!$H$31-Plan_Supuestos!$G$31)*Q16</f>
        <v>0.05</v>
      </c>
      <c r="R18" s="28" t="n">
        <f aca="false">Plan_Supuestos!$G$31+(Plan_Supuestos!$H$31-Plan_Supuestos!$G$31)*R16</f>
        <v>0.05</v>
      </c>
      <c r="S18" s="28" t="n">
        <f aca="false">Plan_Supuestos!$G$31+(Plan_Supuestos!$H$31-Plan_Supuestos!$G$31)*S16</f>
        <v>0.05</v>
      </c>
      <c r="T18" s="28" t="n">
        <f aca="false">Plan_Supuestos!$G$31+(Plan_Supuestos!$H$31-Plan_Supuestos!$G$31)*T16</f>
        <v>0.05</v>
      </c>
      <c r="U18" s="28" t="n">
        <f aca="false">Plan_Supuestos!$G$31+(Plan_Supuestos!$H$31-Plan_Supuestos!$G$31)*U16</f>
        <v>0.05</v>
      </c>
      <c r="V18" s="28" t="n">
        <f aca="false">Plan_Supuestos!$G$31+(Plan_Supuestos!$H$31-Plan_Supuestos!$G$31)*V16</f>
        <v>0.05</v>
      </c>
      <c r="W18" s="28" t="n">
        <f aca="false">Plan_Supuestos!$G$31+(Plan_Supuestos!$H$31-Plan_Supuestos!$G$31)*W16</f>
        <v>0.05</v>
      </c>
      <c r="X18" s="28" t="n">
        <f aca="false">Plan_Supuestos!$G$31+(Plan_Supuestos!$H$31-Plan_Supuestos!$G$31)*X16</f>
        <v>0.05</v>
      </c>
      <c r="Y18" s="28" t="n">
        <f aca="false">Plan_Supuestos!$G$31+(Plan_Supuestos!$H$31-Plan_Supuestos!$G$31)*Y16</f>
        <v>0.05</v>
      </c>
    </row>
    <row r="19" customFormat="false" ht="15" hidden="false" customHeight="false" outlineLevel="0" collapsed="false">
      <c r="A19" s="4" t="s">
        <v>162</v>
      </c>
      <c r="B19" s="28" t="n">
        <f aca="false">Plan_Supuestos!$G$32+(Plan_Supuestos!$H$32-Plan_Supuestos!$G$32)*B16</f>
        <v>0.05</v>
      </c>
      <c r="C19" s="28" t="n">
        <f aca="false">Plan_Supuestos!$G$32+(Plan_Supuestos!$H$32-Plan_Supuestos!$G$32)*C16</f>
        <v>0.0545454545454546</v>
      </c>
      <c r="D19" s="28" t="n">
        <f aca="false">Plan_Supuestos!$G$32+(Plan_Supuestos!$H$32-Plan_Supuestos!$G$32)*D16</f>
        <v>0.0590909090909091</v>
      </c>
      <c r="E19" s="28" t="n">
        <f aca="false">Plan_Supuestos!$G$32+(Plan_Supuestos!$H$32-Plan_Supuestos!$G$32)*E16</f>
        <v>0.0636363636363636</v>
      </c>
      <c r="F19" s="28" t="n">
        <f aca="false">Plan_Supuestos!$G$32+(Plan_Supuestos!$H$32-Plan_Supuestos!$G$32)*F16</f>
        <v>0.0681818181818182</v>
      </c>
      <c r="G19" s="28" t="n">
        <f aca="false">Plan_Supuestos!$G$32+(Plan_Supuestos!$H$32-Plan_Supuestos!$G$32)*G16</f>
        <v>0.0727272727272727</v>
      </c>
      <c r="H19" s="28" t="n">
        <f aca="false">Plan_Supuestos!$G$32+(Plan_Supuestos!$H$32-Plan_Supuestos!$G$32)*H16</f>
        <v>0.0772727272727273</v>
      </c>
      <c r="I19" s="28" t="n">
        <f aca="false">Plan_Supuestos!$G$32+(Plan_Supuestos!$H$32-Plan_Supuestos!$G$32)*I16</f>
        <v>0.0818181818181818</v>
      </c>
      <c r="J19" s="28" t="n">
        <f aca="false">Plan_Supuestos!$G$32+(Plan_Supuestos!$H$32-Plan_Supuestos!$G$32)*J16</f>
        <v>0.0863636363636364</v>
      </c>
      <c r="K19" s="28" t="n">
        <f aca="false">Plan_Supuestos!$G$32+(Plan_Supuestos!$H$32-Plan_Supuestos!$G$32)*K16</f>
        <v>0.0909090909090909</v>
      </c>
      <c r="L19" s="28" t="n">
        <f aca="false">Plan_Supuestos!$G$32+(Plan_Supuestos!$H$32-Plan_Supuestos!$G$32)*L16</f>
        <v>0.0954545454545455</v>
      </c>
      <c r="M19" s="28" t="n">
        <f aca="false">Plan_Supuestos!$G$32+(Plan_Supuestos!$H$32-Plan_Supuestos!$G$32)*M16</f>
        <v>0.1</v>
      </c>
      <c r="N19" s="28" t="n">
        <f aca="false">Plan_Supuestos!$G$32+(Plan_Supuestos!$H$32-Plan_Supuestos!$G$32)*N16</f>
        <v>0.1</v>
      </c>
      <c r="O19" s="28" t="n">
        <f aca="false">Plan_Supuestos!$G$32+(Plan_Supuestos!$H$32-Plan_Supuestos!$G$32)*O16</f>
        <v>0.1</v>
      </c>
      <c r="P19" s="28" t="n">
        <f aca="false">Plan_Supuestos!$G$32+(Plan_Supuestos!$H$32-Plan_Supuestos!$G$32)*P16</f>
        <v>0.1</v>
      </c>
      <c r="Q19" s="28" t="n">
        <f aca="false">Plan_Supuestos!$G$32+(Plan_Supuestos!$H$32-Plan_Supuestos!$G$32)*Q16</f>
        <v>0.1</v>
      </c>
      <c r="R19" s="28" t="n">
        <f aca="false">Plan_Supuestos!$G$32+(Plan_Supuestos!$H$32-Plan_Supuestos!$G$32)*R16</f>
        <v>0.1</v>
      </c>
      <c r="S19" s="28" t="n">
        <f aca="false">Plan_Supuestos!$G$32+(Plan_Supuestos!$H$32-Plan_Supuestos!$G$32)*S16</f>
        <v>0.1</v>
      </c>
      <c r="T19" s="28" t="n">
        <f aca="false">Plan_Supuestos!$G$32+(Plan_Supuestos!$H$32-Plan_Supuestos!$G$32)*T16</f>
        <v>0.1</v>
      </c>
      <c r="U19" s="28" t="n">
        <f aca="false">Plan_Supuestos!$G$32+(Plan_Supuestos!$H$32-Plan_Supuestos!$G$32)*U16</f>
        <v>0.1</v>
      </c>
      <c r="V19" s="28" t="n">
        <f aca="false">Plan_Supuestos!$G$32+(Plan_Supuestos!$H$32-Plan_Supuestos!$G$32)*V16</f>
        <v>0.1</v>
      </c>
      <c r="W19" s="28" t="n">
        <f aca="false">Plan_Supuestos!$G$32+(Plan_Supuestos!$H$32-Plan_Supuestos!$G$32)*W16</f>
        <v>0.1</v>
      </c>
      <c r="X19" s="28" t="n">
        <f aca="false">Plan_Supuestos!$G$32+(Plan_Supuestos!$H$32-Plan_Supuestos!$G$32)*X16</f>
        <v>0.1</v>
      </c>
      <c r="Y19" s="28" t="n">
        <f aca="false">Plan_Supuestos!$G$32+(Plan_Supuestos!$H$32-Plan_Supuestos!$G$32)*Y16</f>
        <v>0.1</v>
      </c>
    </row>
    <row r="20" customFormat="false" ht="15" hidden="false" customHeight="false" outlineLevel="0" collapsed="false">
      <c r="A20" s="4" t="s">
        <v>163</v>
      </c>
      <c r="B20" s="28" t="n">
        <f aca="false">Plan_Supuestos!$G$33+(Plan_Supuestos!$H$33-Plan_Supuestos!$G$33)*B16</f>
        <v>0.04</v>
      </c>
      <c r="C20" s="28" t="n">
        <f aca="false">Plan_Supuestos!$G$33+(Plan_Supuestos!$H$33-Plan_Supuestos!$G$33)*C16</f>
        <v>0.0418181818181818</v>
      </c>
      <c r="D20" s="28" t="n">
        <f aca="false">Plan_Supuestos!$G$33+(Plan_Supuestos!$H$33-Plan_Supuestos!$G$33)*D16</f>
        <v>0.0436363636363636</v>
      </c>
      <c r="E20" s="28" t="n">
        <f aca="false">Plan_Supuestos!$G$33+(Plan_Supuestos!$H$33-Plan_Supuestos!$G$33)*E16</f>
        <v>0.0454545454545455</v>
      </c>
      <c r="F20" s="28" t="n">
        <f aca="false">Plan_Supuestos!$G$33+(Plan_Supuestos!$H$33-Plan_Supuestos!$G$33)*F16</f>
        <v>0.0472727272727273</v>
      </c>
      <c r="G20" s="28" t="n">
        <f aca="false">Plan_Supuestos!$G$33+(Plan_Supuestos!$H$33-Plan_Supuestos!$G$33)*G16</f>
        <v>0.0490909090909091</v>
      </c>
      <c r="H20" s="28" t="n">
        <f aca="false">Plan_Supuestos!$G$33+(Plan_Supuestos!$H$33-Plan_Supuestos!$G$33)*H16</f>
        <v>0.0509090909090909</v>
      </c>
      <c r="I20" s="28" t="n">
        <f aca="false">Plan_Supuestos!$G$33+(Plan_Supuestos!$H$33-Plan_Supuestos!$G$33)*I16</f>
        <v>0.0527272727272727</v>
      </c>
      <c r="J20" s="28" t="n">
        <f aca="false">Plan_Supuestos!$G$33+(Plan_Supuestos!$H$33-Plan_Supuestos!$G$33)*J16</f>
        <v>0.0545454545454545</v>
      </c>
      <c r="K20" s="28" t="n">
        <f aca="false">Plan_Supuestos!$G$33+(Plan_Supuestos!$H$33-Plan_Supuestos!$G$33)*K16</f>
        <v>0.0563636363636364</v>
      </c>
      <c r="L20" s="28" t="n">
        <f aca="false">Plan_Supuestos!$G$33+(Plan_Supuestos!$H$33-Plan_Supuestos!$G$33)*L16</f>
        <v>0.0581818181818182</v>
      </c>
      <c r="M20" s="28" t="n">
        <f aca="false">Plan_Supuestos!$G$33+(Plan_Supuestos!$H$33-Plan_Supuestos!$G$33)*M16</f>
        <v>0.06</v>
      </c>
      <c r="N20" s="28" t="n">
        <f aca="false">Plan_Supuestos!$G$33+(Plan_Supuestos!$H$33-Plan_Supuestos!$G$33)*N16</f>
        <v>0.06</v>
      </c>
      <c r="O20" s="28" t="n">
        <f aca="false">Plan_Supuestos!$G$33+(Plan_Supuestos!$H$33-Plan_Supuestos!$G$33)*O16</f>
        <v>0.06</v>
      </c>
      <c r="P20" s="28" t="n">
        <f aca="false">Plan_Supuestos!$G$33+(Plan_Supuestos!$H$33-Plan_Supuestos!$G$33)*P16</f>
        <v>0.06</v>
      </c>
      <c r="Q20" s="28" t="n">
        <f aca="false">Plan_Supuestos!$G$33+(Plan_Supuestos!$H$33-Plan_Supuestos!$G$33)*Q16</f>
        <v>0.06</v>
      </c>
      <c r="R20" s="28" t="n">
        <f aca="false">Plan_Supuestos!$G$33+(Plan_Supuestos!$H$33-Plan_Supuestos!$G$33)*R16</f>
        <v>0.06</v>
      </c>
      <c r="S20" s="28" t="n">
        <f aca="false">Plan_Supuestos!$G$33+(Plan_Supuestos!$H$33-Plan_Supuestos!$G$33)*S16</f>
        <v>0.06</v>
      </c>
      <c r="T20" s="28" t="n">
        <f aca="false">Plan_Supuestos!$G$33+(Plan_Supuestos!$H$33-Plan_Supuestos!$G$33)*T16</f>
        <v>0.06</v>
      </c>
      <c r="U20" s="28" t="n">
        <f aca="false">Plan_Supuestos!$G$33+(Plan_Supuestos!$H$33-Plan_Supuestos!$G$33)*U16</f>
        <v>0.06</v>
      </c>
      <c r="V20" s="28" t="n">
        <f aca="false">Plan_Supuestos!$G$33+(Plan_Supuestos!$H$33-Plan_Supuestos!$G$33)*V16</f>
        <v>0.06</v>
      </c>
      <c r="W20" s="28" t="n">
        <f aca="false">Plan_Supuestos!$G$33+(Plan_Supuestos!$H$33-Plan_Supuestos!$G$33)*W16</f>
        <v>0.06</v>
      </c>
      <c r="X20" s="28" t="n">
        <f aca="false">Plan_Supuestos!$G$33+(Plan_Supuestos!$H$33-Plan_Supuestos!$G$33)*X16</f>
        <v>0.06</v>
      </c>
      <c r="Y20" s="28" t="n">
        <f aca="false">Plan_Supuestos!$G$33+(Plan_Supuestos!$H$33-Plan_Supuestos!$G$33)*Y16</f>
        <v>0.06</v>
      </c>
    </row>
    <row r="21" customFormat="false" ht="15" hidden="false" customHeight="false" outlineLevel="0" collapsed="false">
      <c r="A21" s="4" t="s">
        <v>164</v>
      </c>
      <c r="B21" s="28" t="n">
        <f aca="false">Plan_Supuestos!$G$34+(Plan_Supuestos!$B$25-Plan_Supuestos!$G$34)*B16</f>
        <v>0.01</v>
      </c>
      <c r="C21" s="28" t="n">
        <f aca="false">Plan_Supuestos!$G$34+(Plan_Supuestos!$B$25-Plan_Supuestos!$G$34)*C16</f>
        <v>0.0127272727272727</v>
      </c>
      <c r="D21" s="28" t="n">
        <f aca="false">Plan_Supuestos!$G$34+(Plan_Supuestos!$B$25-Plan_Supuestos!$G$34)*D16</f>
        <v>0.0154545454545455</v>
      </c>
      <c r="E21" s="28" t="n">
        <f aca="false">Plan_Supuestos!$G$34+(Plan_Supuestos!$B$25-Plan_Supuestos!$G$34)*E16</f>
        <v>0.0181818181818182</v>
      </c>
      <c r="F21" s="28" t="n">
        <f aca="false">Plan_Supuestos!$G$34+(Plan_Supuestos!$B$25-Plan_Supuestos!$G$34)*F16</f>
        <v>0.0209090909090909</v>
      </c>
      <c r="G21" s="28" t="n">
        <f aca="false">Plan_Supuestos!$G$34+(Plan_Supuestos!$B$25-Plan_Supuestos!$G$34)*G16</f>
        <v>0.0236363636363636</v>
      </c>
      <c r="H21" s="28" t="n">
        <f aca="false">Plan_Supuestos!$G$34+(Plan_Supuestos!$B$25-Plan_Supuestos!$G$34)*H16</f>
        <v>0.0263636363636364</v>
      </c>
      <c r="I21" s="28" t="n">
        <f aca="false">Plan_Supuestos!$G$34+(Plan_Supuestos!$B$25-Plan_Supuestos!$G$34)*I16</f>
        <v>0.0290909090909091</v>
      </c>
      <c r="J21" s="28" t="n">
        <f aca="false">Plan_Supuestos!$G$34+(Plan_Supuestos!$B$25-Plan_Supuestos!$G$34)*J16</f>
        <v>0.0318181818181818</v>
      </c>
      <c r="K21" s="28" t="n">
        <f aca="false">Plan_Supuestos!$G$34+(Plan_Supuestos!$B$25-Plan_Supuestos!$G$34)*K16</f>
        <v>0.0345454545454545</v>
      </c>
      <c r="L21" s="28" t="n">
        <f aca="false">Plan_Supuestos!$G$34+(Plan_Supuestos!$B$25-Plan_Supuestos!$G$34)*L16</f>
        <v>0.0372727272727273</v>
      </c>
      <c r="M21" s="28" t="n">
        <f aca="false">Plan_Supuestos!$G$34+(Plan_Supuestos!$B$25-Plan_Supuestos!$G$34)*M16</f>
        <v>0.04</v>
      </c>
      <c r="N21" s="28" t="n">
        <f aca="false">Plan_Supuestos!$G$34+(Plan_Supuestos!$B$25-Plan_Supuestos!$G$34)*N16</f>
        <v>0.04</v>
      </c>
      <c r="O21" s="28" t="n">
        <f aca="false">Plan_Supuestos!$G$34+(Plan_Supuestos!$B$25-Plan_Supuestos!$G$34)*O16</f>
        <v>0.04</v>
      </c>
      <c r="P21" s="28" t="n">
        <f aca="false">Plan_Supuestos!$G$34+(Plan_Supuestos!$B$25-Plan_Supuestos!$G$34)*P16</f>
        <v>0.04</v>
      </c>
      <c r="Q21" s="28" t="n">
        <f aca="false">Plan_Supuestos!$G$34+(Plan_Supuestos!$B$25-Plan_Supuestos!$G$34)*Q16</f>
        <v>0.04</v>
      </c>
      <c r="R21" s="28" t="n">
        <f aca="false">Plan_Supuestos!$G$34+(Plan_Supuestos!$B$25-Plan_Supuestos!$G$34)*R16</f>
        <v>0.04</v>
      </c>
      <c r="S21" s="28" t="n">
        <f aca="false">Plan_Supuestos!$G$34+(Plan_Supuestos!$B$25-Plan_Supuestos!$G$34)*S16</f>
        <v>0.04</v>
      </c>
      <c r="T21" s="28" t="n">
        <f aca="false">Plan_Supuestos!$G$34+(Plan_Supuestos!$B$25-Plan_Supuestos!$G$34)*T16</f>
        <v>0.04</v>
      </c>
      <c r="U21" s="28" t="n">
        <f aca="false">Plan_Supuestos!$G$34+(Plan_Supuestos!$B$25-Plan_Supuestos!$G$34)*U16</f>
        <v>0.04</v>
      </c>
      <c r="V21" s="28" t="n">
        <f aca="false">Plan_Supuestos!$G$34+(Plan_Supuestos!$B$25-Plan_Supuestos!$G$34)*V16</f>
        <v>0.04</v>
      </c>
      <c r="W21" s="28" t="n">
        <f aca="false">Plan_Supuestos!$G$34+(Plan_Supuestos!$B$25-Plan_Supuestos!$G$34)*W16</f>
        <v>0.04</v>
      </c>
      <c r="X21" s="28" t="n">
        <f aca="false">Plan_Supuestos!$G$34+(Plan_Supuestos!$B$25-Plan_Supuestos!$G$34)*X16</f>
        <v>0.04</v>
      </c>
      <c r="Y21" s="28" t="n">
        <f aca="false">Plan_Supuestos!$G$34+(Plan_Supuestos!$B$25-Plan_Supuestos!$G$34)*Y16</f>
        <v>0.04</v>
      </c>
    </row>
    <row r="22" customFormat="false" ht="15" hidden="false" customHeight="false" outlineLevel="0" collapsed="false">
      <c r="A22" s="4" t="s">
        <v>165</v>
      </c>
      <c r="B22" s="28" t="n">
        <f aca="false">Plan_Supuestos!$G$35+(Plan_Supuestos!$H$35-Plan_Supuestos!$G$35)*B16</f>
        <v>0</v>
      </c>
      <c r="C22" s="28" t="n">
        <f aca="false">Plan_Supuestos!$G$35+(Plan_Supuestos!$H$35-Plan_Supuestos!$G$35)*C16</f>
        <v>0</v>
      </c>
      <c r="D22" s="28" t="n">
        <f aca="false">Plan_Supuestos!$G$35+(Plan_Supuestos!$H$35-Plan_Supuestos!$G$35)*D16</f>
        <v>0</v>
      </c>
      <c r="E22" s="28" t="n">
        <f aca="false">Plan_Supuestos!$G$35+(Plan_Supuestos!$H$35-Plan_Supuestos!$G$35)*E16</f>
        <v>0</v>
      </c>
      <c r="F22" s="28" t="n">
        <f aca="false">Plan_Supuestos!$G$35+(Plan_Supuestos!$H$35-Plan_Supuestos!$G$35)*F16</f>
        <v>0</v>
      </c>
      <c r="G22" s="28" t="n">
        <f aca="false">Plan_Supuestos!$G$35+(Plan_Supuestos!$H$35-Plan_Supuestos!$G$35)*G16</f>
        <v>0</v>
      </c>
      <c r="H22" s="28" t="n">
        <f aca="false">Plan_Supuestos!$G$35+(Plan_Supuestos!$H$35-Plan_Supuestos!$G$35)*H16</f>
        <v>0</v>
      </c>
      <c r="I22" s="28" t="n">
        <f aca="false">Plan_Supuestos!$G$35+(Plan_Supuestos!$H$35-Plan_Supuestos!$G$35)*I16</f>
        <v>0</v>
      </c>
      <c r="J22" s="28" t="n">
        <f aca="false">Plan_Supuestos!$G$35+(Plan_Supuestos!$H$35-Plan_Supuestos!$G$35)*J16</f>
        <v>0</v>
      </c>
      <c r="K22" s="28" t="n">
        <f aca="false">Plan_Supuestos!$G$35+(Plan_Supuestos!$H$35-Plan_Supuestos!$G$35)*K16</f>
        <v>0</v>
      </c>
      <c r="L22" s="28" t="n">
        <f aca="false">Plan_Supuestos!$G$35+(Plan_Supuestos!$H$35-Plan_Supuestos!$G$35)*L16</f>
        <v>0</v>
      </c>
      <c r="M22" s="28" t="n">
        <f aca="false">Plan_Supuestos!$G$35+(Plan_Supuestos!$H$35-Plan_Supuestos!$G$35)*M16</f>
        <v>0</v>
      </c>
      <c r="N22" s="28" t="n">
        <f aca="false">Plan_Supuestos!$G$35+(Plan_Supuestos!$H$35-Plan_Supuestos!$G$35)*N16</f>
        <v>0</v>
      </c>
      <c r="O22" s="28" t="n">
        <f aca="false">Plan_Supuestos!$G$35+(Plan_Supuestos!$H$35-Plan_Supuestos!$G$35)*O16</f>
        <v>0</v>
      </c>
      <c r="P22" s="28" t="n">
        <f aca="false">Plan_Supuestos!$G$35+(Plan_Supuestos!$H$35-Plan_Supuestos!$G$35)*P16</f>
        <v>0</v>
      </c>
      <c r="Q22" s="28" t="n">
        <f aca="false">Plan_Supuestos!$G$35+(Plan_Supuestos!$H$35-Plan_Supuestos!$G$35)*Q16</f>
        <v>0</v>
      </c>
      <c r="R22" s="28" t="n">
        <f aca="false">Plan_Supuestos!$G$35+(Plan_Supuestos!$H$35-Plan_Supuestos!$G$35)*R16</f>
        <v>0</v>
      </c>
      <c r="S22" s="28" t="n">
        <f aca="false">Plan_Supuestos!$G$35+(Plan_Supuestos!$H$35-Plan_Supuestos!$G$35)*S16</f>
        <v>0</v>
      </c>
      <c r="T22" s="28" t="n">
        <f aca="false">Plan_Supuestos!$G$35+(Plan_Supuestos!$H$35-Plan_Supuestos!$G$35)*T16</f>
        <v>0</v>
      </c>
      <c r="U22" s="28" t="n">
        <f aca="false">Plan_Supuestos!$G$35+(Plan_Supuestos!$H$35-Plan_Supuestos!$G$35)*U16</f>
        <v>0</v>
      </c>
      <c r="V22" s="28" t="n">
        <f aca="false">Plan_Supuestos!$G$35+(Plan_Supuestos!$H$35-Plan_Supuestos!$G$35)*V16</f>
        <v>0</v>
      </c>
      <c r="W22" s="28" t="n">
        <f aca="false">Plan_Supuestos!$G$35+(Plan_Supuestos!$H$35-Plan_Supuestos!$G$35)*W16</f>
        <v>0</v>
      </c>
      <c r="X22" s="28" t="n">
        <f aca="false">Plan_Supuestos!$G$35+(Plan_Supuestos!$H$35-Plan_Supuestos!$G$35)*X16</f>
        <v>0</v>
      </c>
      <c r="Y22" s="28" t="n">
        <f aca="false">Plan_Supuestos!$G$35+(Plan_Supuestos!$H$35-Plan_Supuestos!$G$35)*Y16</f>
        <v>0</v>
      </c>
    </row>
    <row r="23" customFormat="false" ht="15" hidden="false" customHeight="false" outlineLevel="0" collapsed="false">
      <c r="A23" s="4" t="s">
        <v>166</v>
      </c>
      <c r="B23" s="6" t="n">
        <f aca="false">SUMPRODUCT(B17:B22,Plan_Supuestos!$D$30:$D$35)+(Plan_Supuestos!$B$43+(Plan_Supuestos!$B$44-Plan_Supuestos!$B$43)*B16)*Plan_Supuestos!$B$45</f>
        <v>203.66340959428</v>
      </c>
      <c r="C23" s="6" t="n">
        <f aca="false">SUMPRODUCT(C17:C22,Plan_Supuestos!$D$30:$D$35)+(Plan_Supuestos!$B$43+(Plan_Supuestos!$B$44-Plan_Supuestos!$B$43)*C16)*Plan_Supuestos!$B$45</f>
        <v>205.515879456363</v>
      </c>
      <c r="D23" s="6" t="n">
        <f aca="false">SUMPRODUCT(D17:D22,Plan_Supuestos!$D$30:$D$35)+(Plan_Supuestos!$B$43+(Plan_Supuestos!$B$44-Plan_Supuestos!$B$43)*D16)*Plan_Supuestos!$B$45</f>
        <v>207.368349318445</v>
      </c>
      <c r="E23" s="6" t="n">
        <f aca="false">SUMPRODUCT(E17:E22,Plan_Supuestos!$D$30:$D$35)+(Plan_Supuestos!$B$43+(Plan_Supuestos!$B$44-Plan_Supuestos!$B$43)*E16)*Plan_Supuestos!$B$45</f>
        <v>209.220819180527</v>
      </c>
      <c r="F23" s="6" t="n">
        <f aca="false">SUMPRODUCT(F17:F22,Plan_Supuestos!$D$30:$D$35)+(Plan_Supuestos!$B$43+(Plan_Supuestos!$B$44-Plan_Supuestos!$B$43)*F16)*Plan_Supuestos!$B$45</f>
        <v>211.073289042609</v>
      </c>
      <c r="G23" s="6" t="n">
        <f aca="false">SUMPRODUCT(G17:G22,Plan_Supuestos!$D$30:$D$35)+(Plan_Supuestos!$B$43+(Plan_Supuestos!$B$44-Plan_Supuestos!$B$43)*G16)*Plan_Supuestos!$B$45</f>
        <v>212.925758904691</v>
      </c>
      <c r="H23" s="6" t="n">
        <f aca="false">SUMPRODUCT(H17:H22,Plan_Supuestos!$D$30:$D$35)+(Plan_Supuestos!$B$43+(Plan_Supuestos!$B$44-Plan_Supuestos!$B$43)*H16)*Plan_Supuestos!$B$45</f>
        <v>214.778228766774</v>
      </c>
      <c r="I23" s="6" t="n">
        <f aca="false">SUMPRODUCT(I17:I22,Plan_Supuestos!$D$30:$D$35)+(Plan_Supuestos!$B$43+(Plan_Supuestos!$B$44-Plan_Supuestos!$B$43)*I16)*Plan_Supuestos!$B$45</f>
        <v>216.630698628856</v>
      </c>
      <c r="J23" s="6" t="n">
        <f aca="false">SUMPRODUCT(J17:J22,Plan_Supuestos!$D$30:$D$35)+(Plan_Supuestos!$B$43+(Plan_Supuestos!$B$44-Plan_Supuestos!$B$43)*J16)*Plan_Supuestos!$B$45</f>
        <v>218.483168490938</v>
      </c>
      <c r="K23" s="6" t="n">
        <f aca="false">SUMPRODUCT(K17:K22,Plan_Supuestos!$D$30:$D$35)+(Plan_Supuestos!$B$43+(Plan_Supuestos!$B$44-Plan_Supuestos!$B$43)*K16)*Plan_Supuestos!$B$45</f>
        <v>220.33563835302</v>
      </c>
      <c r="L23" s="6" t="n">
        <f aca="false">SUMPRODUCT(L17:L22,Plan_Supuestos!$D$30:$D$35)+(Plan_Supuestos!$B$43+(Plan_Supuestos!$B$44-Plan_Supuestos!$B$43)*L16)*Plan_Supuestos!$B$45</f>
        <v>222.188108215102</v>
      </c>
      <c r="M23" s="6" t="n">
        <f aca="false">SUMPRODUCT(M17:M22,Plan_Supuestos!$D$30:$D$35)+(Plan_Supuestos!$B$43+(Plan_Supuestos!$B$44-Plan_Supuestos!$B$43)*M16)*Plan_Supuestos!$B$45</f>
        <v>224.040578077185</v>
      </c>
      <c r="N23" s="6" t="n">
        <f aca="false">SUMPRODUCT(N17:N22,Plan_Supuestos!$D$30:$D$35)+(Plan_Supuestos!$B$43+(Plan_Supuestos!$B$44-Plan_Supuestos!$B$43)*N16)*Plan_Supuestos!$B$45</f>
        <v>224.040578077185</v>
      </c>
      <c r="O23" s="6" t="n">
        <f aca="false">SUMPRODUCT(O17:O22,Plan_Supuestos!$D$30:$D$35)+(Plan_Supuestos!$B$43+(Plan_Supuestos!$B$44-Plan_Supuestos!$B$43)*O16)*Plan_Supuestos!$B$45</f>
        <v>224.040578077185</v>
      </c>
      <c r="P23" s="6" t="n">
        <f aca="false">SUMPRODUCT(P17:P22,Plan_Supuestos!$D$30:$D$35)+(Plan_Supuestos!$B$43+(Plan_Supuestos!$B$44-Plan_Supuestos!$B$43)*P16)*Plan_Supuestos!$B$45</f>
        <v>224.040578077185</v>
      </c>
      <c r="Q23" s="6" t="n">
        <f aca="false">SUMPRODUCT(Q17:Q22,Plan_Supuestos!$D$30:$D$35)+(Plan_Supuestos!$B$43+(Plan_Supuestos!$B$44-Plan_Supuestos!$B$43)*Q16)*Plan_Supuestos!$B$45</f>
        <v>224.040578077185</v>
      </c>
      <c r="R23" s="6" t="n">
        <f aca="false">SUMPRODUCT(R17:R22,Plan_Supuestos!$D$30:$D$35)+(Plan_Supuestos!$B$43+(Plan_Supuestos!$B$44-Plan_Supuestos!$B$43)*R16)*Plan_Supuestos!$B$45</f>
        <v>224.040578077185</v>
      </c>
      <c r="S23" s="6" t="n">
        <f aca="false">SUMPRODUCT(S17:S22,Plan_Supuestos!$D$30:$D$35)+(Plan_Supuestos!$B$43+(Plan_Supuestos!$B$44-Plan_Supuestos!$B$43)*S16)*Plan_Supuestos!$B$45</f>
        <v>224.040578077185</v>
      </c>
      <c r="T23" s="6" t="n">
        <f aca="false">SUMPRODUCT(T17:T22,Plan_Supuestos!$D$30:$D$35)+(Plan_Supuestos!$B$43+(Plan_Supuestos!$B$44-Plan_Supuestos!$B$43)*T16)*Plan_Supuestos!$B$45</f>
        <v>224.040578077185</v>
      </c>
      <c r="U23" s="6" t="n">
        <f aca="false">SUMPRODUCT(U17:U22,Plan_Supuestos!$D$30:$D$35)+(Plan_Supuestos!$B$43+(Plan_Supuestos!$B$44-Plan_Supuestos!$B$43)*U16)*Plan_Supuestos!$B$45</f>
        <v>224.040578077185</v>
      </c>
      <c r="V23" s="6" t="n">
        <f aca="false">SUMPRODUCT(V17:V22,Plan_Supuestos!$D$30:$D$35)+(Plan_Supuestos!$B$43+(Plan_Supuestos!$B$44-Plan_Supuestos!$B$43)*V16)*Plan_Supuestos!$B$45</f>
        <v>224.040578077185</v>
      </c>
      <c r="W23" s="6" t="n">
        <f aca="false">SUMPRODUCT(W17:W22,Plan_Supuestos!$D$30:$D$35)+(Plan_Supuestos!$B$43+(Plan_Supuestos!$B$44-Plan_Supuestos!$B$43)*W16)*Plan_Supuestos!$B$45</f>
        <v>224.040578077185</v>
      </c>
      <c r="X23" s="6" t="n">
        <f aca="false">SUMPRODUCT(X17:X22,Plan_Supuestos!$D$30:$D$35)+(Plan_Supuestos!$B$43+(Plan_Supuestos!$B$44-Plan_Supuestos!$B$43)*X16)*Plan_Supuestos!$B$45</f>
        <v>224.040578077185</v>
      </c>
      <c r="Y23" s="6" t="n">
        <f aca="false">SUMPRODUCT(Y17:Y22,Plan_Supuestos!$D$30:$D$35)+(Plan_Supuestos!$B$43+(Plan_Supuestos!$B$44-Plan_Supuestos!$B$43)*Y16)*Plan_Supuestos!$B$45</f>
        <v>224.040578077185</v>
      </c>
    </row>
    <row r="24" customFormat="false" ht="15" hidden="false" customHeight="false" outlineLevel="0" collapsed="false">
      <c r="A24" s="4" t="s">
        <v>167</v>
      </c>
      <c r="B24" s="6" t="n">
        <f aca="false">Plan_Supuestos!$B$26*MIN(1,B$4/6)*Plan_Supuestos!$B$8*SUMPRODUCT(B17:B22,Plan_Supuestos!$E$30:$E$35)</f>
        <v>0</v>
      </c>
      <c r="C24" s="6" t="n">
        <f aca="false">Plan_Supuestos!$B$26*MIN(1,C$4/6)*Plan_Supuestos!$B$8*SUMPRODUCT(C17:C22,Plan_Supuestos!$E$30:$E$35)</f>
        <v>0</v>
      </c>
      <c r="D24" s="6" t="n">
        <f aca="false">Plan_Supuestos!$B$26*MIN(1,D$4/6)*Plan_Supuestos!$B$8*SUMPRODUCT(D17:D22,Plan_Supuestos!$E$30:$E$35)</f>
        <v>0</v>
      </c>
      <c r="E24" s="6" t="n">
        <f aca="false">Plan_Supuestos!$B$26*MIN(1,E$4/6)*Plan_Supuestos!$B$8*SUMPRODUCT(E17:E22,Plan_Supuestos!$E$30:$E$35)</f>
        <v>0</v>
      </c>
      <c r="F24" s="6" t="n">
        <f aca="false">Plan_Supuestos!$B$26*MIN(1,F$4/6)*Plan_Supuestos!$B$8*SUMPRODUCT(F17:F22,Plan_Supuestos!$E$30:$E$35)</f>
        <v>0</v>
      </c>
      <c r="G24" s="6" t="n">
        <f aca="false">Plan_Supuestos!$B$26*MIN(1,G$4/6)*Plan_Supuestos!$B$8*SUMPRODUCT(G17:G22,Plan_Supuestos!$E$30:$E$35)</f>
        <v>0</v>
      </c>
      <c r="H24" s="6" t="n">
        <f aca="false">Plan_Supuestos!$B$26*MIN(1,H$4/6)*Plan_Supuestos!$B$8*SUMPRODUCT(H17:H22,Plan_Supuestos!$E$30:$E$35)</f>
        <v>0</v>
      </c>
      <c r="I24" s="6" t="n">
        <f aca="false">Plan_Supuestos!$B$26*MIN(1,I$4/6)*Plan_Supuestos!$B$8*SUMPRODUCT(I17:I22,Plan_Supuestos!$E$30:$E$35)</f>
        <v>0</v>
      </c>
      <c r="J24" s="6" t="n">
        <f aca="false">Plan_Supuestos!$B$26*MIN(1,J$4/6)*Plan_Supuestos!$B$8*SUMPRODUCT(J17:J22,Plan_Supuestos!$E$30:$E$35)</f>
        <v>0</v>
      </c>
      <c r="K24" s="6" t="n">
        <f aca="false">Plan_Supuestos!$B$26*MIN(1,K$4/6)*Plan_Supuestos!$B$8*SUMPRODUCT(K17:K22,Plan_Supuestos!$E$30:$E$35)</f>
        <v>0</v>
      </c>
      <c r="L24" s="6" t="n">
        <f aca="false">Plan_Supuestos!$B$26*MIN(1,L$4/6)*Plan_Supuestos!$B$8*SUMPRODUCT(L17:L22,Plan_Supuestos!$E$30:$E$35)</f>
        <v>0</v>
      </c>
      <c r="M24" s="6" t="n">
        <f aca="false">Plan_Supuestos!$B$26*MIN(1,M$4/6)*Plan_Supuestos!$B$8*SUMPRODUCT(M17:M22,Plan_Supuestos!$E$30:$E$35)</f>
        <v>0</v>
      </c>
      <c r="N24" s="6" t="n">
        <f aca="false">Plan_Supuestos!$B$26*MIN(1,N$4/6)*Plan_Supuestos!$B$8*SUMPRODUCT(N17:N22,Plan_Supuestos!$E$30:$E$35)</f>
        <v>0</v>
      </c>
      <c r="O24" s="6" t="n">
        <f aca="false">Plan_Supuestos!$B$26*MIN(1,O$4/6)*Plan_Supuestos!$B$8*SUMPRODUCT(O17:O22,Plan_Supuestos!$E$30:$E$35)</f>
        <v>0</v>
      </c>
      <c r="P24" s="6" t="n">
        <f aca="false">Plan_Supuestos!$B$26*MIN(1,P$4/6)*Plan_Supuestos!$B$8*SUMPRODUCT(P17:P22,Plan_Supuestos!$E$30:$E$35)</f>
        <v>0</v>
      </c>
      <c r="Q24" s="6" t="n">
        <f aca="false">Plan_Supuestos!$B$26*MIN(1,Q$4/6)*Plan_Supuestos!$B$8*SUMPRODUCT(Q17:Q22,Plan_Supuestos!$E$30:$E$35)</f>
        <v>0</v>
      </c>
      <c r="R24" s="6" t="n">
        <f aca="false">Plan_Supuestos!$B$26*MIN(1,R$4/6)*Plan_Supuestos!$B$8*SUMPRODUCT(R17:R22,Plan_Supuestos!$E$30:$E$35)</f>
        <v>0</v>
      </c>
      <c r="S24" s="6" t="n">
        <f aca="false">Plan_Supuestos!$B$26*MIN(1,S$4/6)*Plan_Supuestos!$B$8*SUMPRODUCT(S17:S22,Plan_Supuestos!$E$30:$E$35)</f>
        <v>0</v>
      </c>
      <c r="T24" s="6" t="n">
        <f aca="false">Plan_Supuestos!$B$26*MIN(1,T$4/6)*Plan_Supuestos!$B$8*SUMPRODUCT(T17:T22,Plan_Supuestos!$E$30:$E$35)</f>
        <v>0</v>
      </c>
      <c r="U24" s="6" t="n">
        <f aca="false">Plan_Supuestos!$B$26*MIN(1,U$4/6)*Plan_Supuestos!$B$8*SUMPRODUCT(U17:U22,Plan_Supuestos!$E$30:$E$35)</f>
        <v>0</v>
      </c>
      <c r="V24" s="6" t="n">
        <f aca="false">Plan_Supuestos!$B$26*MIN(1,V$4/6)*Plan_Supuestos!$B$8*SUMPRODUCT(V17:V22,Plan_Supuestos!$E$30:$E$35)</f>
        <v>0</v>
      </c>
      <c r="W24" s="6" t="n">
        <f aca="false">Plan_Supuestos!$B$26*MIN(1,W$4/6)*Plan_Supuestos!$B$8*SUMPRODUCT(W17:W22,Plan_Supuestos!$E$30:$E$35)</f>
        <v>0</v>
      </c>
      <c r="X24" s="6" t="n">
        <f aca="false">Plan_Supuestos!$B$26*MIN(1,X$4/6)*Plan_Supuestos!$B$8*SUMPRODUCT(X17:X22,Plan_Supuestos!$E$30:$E$35)</f>
        <v>0</v>
      </c>
      <c r="Y24" s="6" t="n">
        <f aca="false">Plan_Supuestos!$B$26*MIN(1,Y$4/6)*Plan_Supuestos!$B$8*SUMPRODUCT(Y17:Y22,Plan_Supuestos!$E$30:$E$35)</f>
        <v>0</v>
      </c>
    </row>
    <row r="25" customFormat="false" ht="15" hidden="false" customHeight="false" outlineLevel="0" collapsed="false">
      <c r="A25" s="4" t="s">
        <v>168</v>
      </c>
      <c r="B25" s="5" t="n">
        <f aca="false">B12*(B23+B24)</f>
        <v>25982.8318941157</v>
      </c>
      <c r="C25" s="5" t="n">
        <f aca="false">C12*(C23+C24)</f>
        <v>27676.7049693692</v>
      </c>
      <c r="D25" s="5" t="n">
        <f aca="false">D12*(D23+D24)</f>
        <v>29479.3800255105</v>
      </c>
      <c r="E25" s="5" t="n">
        <f aca="false">E12*(E23+E24)</f>
        <v>31397.7918481222</v>
      </c>
      <c r="F25" s="5" t="n">
        <f aca="false">F12*(F23+F24)</f>
        <v>33439.3162078635</v>
      </c>
      <c r="G25" s="5" t="n">
        <f aca="false">G12*(G23+G24)</f>
        <v>35611.7979664419</v>
      </c>
      <c r="H25" s="5" t="n">
        <f aca="false">H12*(H23+H24)</f>
        <v>37923.580985568</v>
      </c>
      <c r="I25" s="5" t="n">
        <f aca="false">I12*(I23+I24)</f>
        <v>40383.5399557953</v>
      </c>
      <c r="J25" s="5" t="n">
        <f aca="false">J12*(J23+J24)</f>
        <v>43001.1142698403</v>
      </c>
      <c r="K25" s="5" t="n">
        <f aca="false">K12*(K23+K24)</f>
        <v>45786.3440731882</v>
      </c>
      <c r="L25" s="5" t="n">
        <f aca="false">L12*(L23+L24)</f>
        <v>48749.908633555</v>
      </c>
      <c r="M25" s="5" t="n">
        <f aca="false">M12*(M23+M24)</f>
        <v>51903.1671801261</v>
      </c>
      <c r="N25" s="5" t="n">
        <f aca="false">N12*(N23+N24)</f>
        <v>54855.8887500203</v>
      </c>
      <c r="O25" s="5" t="n">
        <f aca="false">O12*(O23+O24)</f>
        <v>57978.2282257414</v>
      </c>
      <c r="P25" s="5" t="n">
        <f aca="false">P12*(P23+P24)</f>
        <v>61280.0403899501</v>
      </c>
      <c r="Q25" s="5" t="n">
        <f aca="false">Q12*(Q23+Q24)</f>
        <v>64771.7602597872</v>
      </c>
      <c r="R25" s="5" t="n">
        <f aca="false">R12*(R23+R24)</f>
        <v>68464.437790598</v>
      </c>
      <c r="S25" s="5" t="n">
        <f aca="false">S12*(S23+S24)</f>
        <v>72369.7746941763</v>
      </c>
      <c r="T25" s="5" t="n">
        <f aca="false">T12*(T23+T24)</f>
        <v>76500.1635032344</v>
      </c>
      <c r="U25" s="5" t="n">
        <f aca="false">U12*(U23+U24)</f>
        <v>80868.7290222216</v>
      </c>
      <c r="V25" s="5" t="n">
        <f aca="false">V12*(V23+V24)</f>
        <v>85489.372313591</v>
      </c>
      <c r="W25" s="5" t="n">
        <f aca="false">W12*(W23+W24)</f>
        <v>90376.8173781809</v>
      </c>
      <c r="X25" s="5" t="n">
        <f aca="false">X12*(X23+X24)</f>
        <v>95546.6606985778</v>
      </c>
      <c r="Y25" s="5" t="n">
        <f aca="false">Y12*(Y23+Y24)</f>
        <v>101015.423825208</v>
      </c>
    </row>
    <row r="26" customFormat="false" ht="15" hidden="false" customHeight="false" outlineLevel="0" collapsed="false">
      <c r="A26" s="4" t="s">
        <v>169</v>
      </c>
      <c r="B26" s="5" t="n">
        <f aca="false">B14*Plan_Supuestos!$D$36</f>
        <v>587.664765849056</v>
      </c>
      <c r="C26" s="5" t="n">
        <f aca="false">C14*Plan_Supuestos!$D$36</f>
        <v>587.664765849056</v>
      </c>
      <c r="D26" s="5" t="n">
        <f aca="false">D14*Plan_Supuestos!$D$36</f>
        <v>587.664765849056</v>
      </c>
      <c r="E26" s="5" t="n">
        <f aca="false">E14*Plan_Supuestos!$D$36</f>
        <v>587.664765849056</v>
      </c>
      <c r="F26" s="5" t="n">
        <f aca="false">F14*Plan_Supuestos!$D$36</f>
        <v>587.664765849056</v>
      </c>
      <c r="G26" s="5" t="n">
        <f aca="false">G14*Plan_Supuestos!$D$36</f>
        <v>587.664765849056</v>
      </c>
      <c r="H26" s="5" t="n">
        <f aca="false">H14*Plan_Supuestos!$D$36</f>
        <v>587.664765849056</v>
      </c>
      <c r="I26" s="5" t="n">
        <f aca="false">I14*Plan_Supuestos!$D$36</f>
        <v>587.664765849056</v>
      </c>
      <c r="J26" s="5" t="n">
        <f aca="false">J14*Plan_Supuestos!$D$36</f>
        <v>587.664765849056</v>
      </c>
      <c r="K26" s="5" t="n">
        <f aca="false">K14*Plan_Supuestos!$D$36</f>
        <v>587.664765849056</v>
      </c>
      <c r="L26" s="5" t="n">
        <f aca="false">L14*Plan_Supuestos!$D$36</f>
        <v>587.664765849056</v>
      </c>
      <c r="M26" s="5" t="n">
        <f aca="false">M14*Plan_Supuestos!$D$36</f>
        <v>587.664765849056</v>
      </c>
      <c r="N26" s="5" t="n">
        <f aca="false">N14*Plan_Supuestos!$D$36</f>
        <v>1249.54492738524</v>
      </c>
      <c r="O26" s="5" t="n">
        <f aca="false">O14*Plan_Supuestos!$D$36</f>
        <v>1319.00791870045</v>
      </c>
      <c r="P26" s="5" t="n">
        <f aca="false">P14*Plan_Supuestos!$D$36</f>
        <v>1392.36878216995</v>
      </c>
      <c r="Q26" s="5" t="n">
        <f aca="false">Q14*Plan_Supuestos!$D$36</f>
        <v>1469.84862428081</v>
      </c>
      <c r="R26" s="5" t="n">
        <f aca="false">R14*Plan_Supuestos!$D$36</f>
        <v>1551.68125240452</v>
      </c>
      <c r="S26" s="5" t="n">
        <f aca="false">S14*Plan_Supuestos!$D$36</f>
        <v>1638.1139151558</v>
      </c>
      <c r="T26" s="5" t="n">
        <f aca="false">T14*Plan_Supuestos!$D$36</f>
        <v>1729.40808665809</v>
      </c>
      <c r="U26" s="5" t="n">
        <f aca="false">U14*Plan_Supuestos!$D$36</f>
        <v>1825.84029737305</v>
      </c>
      <c r="V26" s="5" t="n">
        <f aca="false">V14*Plan_Supuestos!$D$36</f>
        <v>1927.70301431575</v>
      </c>
      <c r="W26" s="5" t="n">
        <f aca="false">W14*Plan_Supuestos!$D$36</f>
        <v>2035.30557365276</v>
      </c>
      <c r="X26" s="5" t="n">
        <f aca="false">X14*Plan_Supuestos!$D$36</f>
        <v>2148.97516886652</v>
      </c>
      <c r="Y26" s="5" t="n">
        <f aca="false">Y14*Plan_Supuestos!$D$36</f>
        <v>2269.05789786773</v>
      </c>
    </row>
    <row r="27" customFormat="false" ht="15" hidden="false" customHeight="false" outlineLevel="0" collapsed="false">
      <c r="A27" s="4" t="s">
        <v>170</v>
      </c>
      <c r="B27" s="5" t="n">
        <f aca="false">-B7</f>
        <v>-9000</v>
      </c>
      <c r="C27" s="5" t="n">
        <f aca="false">-C7</f>
        <v>-9720</v>
      </c>
      <c r="D27" s="5" t="n">
        <f aca="false">-D7</f>
        <v>-10497.6</v>
      </c>
      <c r="E27" s="5" t="n">
        <f aca="false">-E7</f>
        <v>-11337.408</v>
      </c>
      <c r="F27" s="5" t="n">
        <f aca="false">-F7</f>
        <v>-12244.40064</v>
      </c>
      <c r="G27" s="5" t="n">
        <f aca="false">-G7</f>
        <v>-13223.9526912</v>
      </c>
      <c r="H27" s="5" t="n">
        <f aca="false">-H7</f>
        <v>-14281.868906496</v>
      </c>
      <c r="I27" s="5" t="n">
        <f aca="false">-I7</f>
        <v>-15424.4184190157</v>
      </c>
      <c r="J27" s="5" t="n">
        <f aca="false">-J7</f>
        <v>-16658.3718925369</v>
      </c>
      <c r="K27" s="5" t="n">
        <f aca="false">-K7</f>
        <v>-17991.0416439399</v>
      </c>
      <c r="L27" s="5" t="n">
        <f aca="false">-L7</f>
        <v>-19430.3249754551</v>
      </c>
      <c r="M27" s="5" t="n">
        <f aca="false">-M7</f>
        <v>-20984.7509734915</v>
      </c>
      <c r="N27" s="5" t="n">
        <f aca="false">-N7</f>
        <v>-22663.5310513708</v>
      </c>
      <c r="O27" s="5" t="n">
        <f aca="false">-O7</f>
        <v>-24476.6135354805</v>
      </c>
      <c r="P27" s="5" t="n">
        <f aca="false">-P7</f>
        <v>-26434.7426183189</v>
      </c>
      <c r="Q27" s="5" t="n">
        <f aca="false">-Q7</f>
        <v>-28549.5220277845</v>
      </c>
      <c r="R27" s="5" t="n">
        <f aca="false">-R7</f>
        <v>-30833.4837900072</v>
      </c>
      <c r="S27" s="5" t="n">
        <f aca="false">-S7</f>
        <v>-33300.1624932078</v>
      </c>
      <c r="T27" s="5" t="n">
        <f aca="false">-T7</f>
        <v>-35964.1754926644</v>
      </c>
      <c r="U27" s="5" t="n">
        <f aca="false">-U7</f>
        <v>-38841.3095320776</v>
      </c>
      <c r="V27" s="5" t="n">
        <f aca="false">-V7</f>
        <v>-41948.6142946438</v>
      </c>
      <c r="W27" s="5" t="n">
        <f aca="false">-W7</f>
        <v>-45304.5034382153</v>
      </c>
      <c r="X27" s="5" t="n">
        <f aca="false">-X7</f>
        <v>-48928.8637132725</v>
      </c>
      <c r="Y27" s="5" t="n">
        <f aca="false">-Y7</f>
        <v>-52843.1728103343</v>
      </c>
    </row>
    <row r="28" customFormat="false" ht="15" hidden="false" customHeight="false" outlineLevel="0" collapsed="false">
      <c r="A28" s="4" t="s">
        <v>171</v>
      </c>
      <c r="B28" s="5" t="n">
        <f aca="false">B25+B26+B27</f>
        <v>17570.4966599647</v>
      </c>
      <c r="C28" s="5" t="n">
        <f aca="false">C25+C26+C27</f>
        <v>18544.3697352183</v>
      </c>
      <c r="D28" s="5" t="n">
        <f aca="false">D25+D26+D27</f>
        <v>19569.4447913595</v>
      </c>
      <c r="E28" s="5" t="n">
        <f aca="false">E25+E26+E27</f>
        <v>20648.0486139712</v>
      </c>
      <c r="F28" s="5" t="n">
        <f aca="false">F25+F26+F27</f>
        <v>21782.5803337126</v>
      </c>
      <c r="G28" s="5" t="n">
        <f aca="false">G25+G26+G27</f>
        <v>22975.510041091</v>
      </c>
      <c r="H28" s="5" t="n">
        <f aca="false">H25+H26+H27</f>
        <v>24229.376844921</v>
      </c>
      <c r="I28" s="5" t="n">
        <f aca="false">I25+I26+I27</f>
        <v>25546.7863026286</v>
      </c>
      <c r="J28" s="5" t="n">
        <f aca="false">J25+J26+J27</f>
        <v>26930.4071431524</v>
      </c>
      <c r="K28" s="5" t="n">
        <f aca="false">K25+K26+K27</f>
        <v>28382.9671950974</v>
      </c>
      <c r="L28" s="5" t="n">
        <f aca="false">L25+L26+L27</f>
        <v>29907.248423949</v>
      </c>
      <c r="M28" s="5" t="n">
        <f aca="false">M25+M26+M27</f>
        <v>31506.0809724837</v>
      </c>
      <c r="N28" s="5" t="n">
        <f aca="false">N25+N26+N27</f>
        <v>33441.9026260347</v>
      </c>
      <c r="O28" s="5" t="n">
        <f aca="false">O25+O26+O27</f>
        <v>34820.6226089614</v>
      </c>
      <c r="P28" s="5" t="n">
        <f aca="false">P25+P26+P27</f>
        <v>36237.6665538011</v>
      </c>
      <c r="Q28" s="5" t="n">
        <f aca="false">Q25+Q26+Q27</f>
        <v>37692.0868562836</v>
      </c>
      <c r="R28" s="5" t="n">
        <f aca="false">R25+R26+R27</f>
        <v>39182.6352529953</v>
      </c>
      <c r="S28" s="5" t="n">
        <f aca="false">S25+S26+S27</f>
        <v>40707.7261161243</v>
      </c>
      <c r="T28" s="5" t="n">
        <f aca="false">T25+T26+T27</f>
        <v>42265.3960972281</v>
      </c>
      <c r="U28" s="5" t="n">
        <f aca="false">U25+U26+U27</f>
        <v>43853.2597875171</v>
      </c>
      <c r="V28" s="5" t="n">
        <f aca="false">V25+V26+V27</f>
        <v>45468.461033263</v>
      </c>
      <c r="W28" s="5" t="n">
        <f aca="false">W25+W26+W27</f>
        <v>47107.6195136183</v>
      </c>
      <c r="X28" s="5" t="n">
        <f aca="false">X25+X26+X27</f>
        <v>48766.7721541718</v>
      </c>
      <c r="Y28" s="5" t="n">
        <f aca="false">Y25+Y26+Y27</f>
        <v>50441.3089127412</v>
      </c>
    </row>
    <row r="29" customFormat="false" ht="15" hidden="false" customHeight="false" outlineLevel="0" collapsed="false">
      <c r="A29" s="4" t="s">
        <v>172</v>
      </c>
      <c r="B29" s="5" t="n">
        <f aca="false">-(Plan_Supuestos!$B$9+Plan_Supuestos!$B$10*B15)</f>
        <v>-16059.018556701</v>
      </c>
      <c r="C29" s="5" t="n">
        <f aca="false">-(Plan_Supuestos!$B$9+Plan_Supuestos!$B$10*C15)</f>
        <v>-16115.7553865553</v>
      </c>
      <c r="D29" s="5" t="n">
        <f aca="false">-(Plan_Supuestos!$B$9+Plan_Supuestos!$B$10*D15)</f>
        <v>-16175.6759680019</v>
      </c>
      <c r="E29" s="5" t="n">
        <f aca="false">-(Plan_Supuestos!$B$9+Plan_Supuestos!$B$10*E15)</f>
        <v>-16238.960899096</v>
      </c>
      <c r="F29" s="5" t="n">
        <f aca="false">-(Plan_Supuestos!$B$9+Plan_Supuestos!$B$10*F15)</f>
        <v>-16305.8011518762</v>
      </c>
      <c r="G29" s="5" t="n">
        <f aca="false">-(Plan_Supuestos!$B$9+Plan_Supuestos!$B$10*G15)</f>
        <v>-16376.3986770838</v>
      </c>
      <c r="H29" s="5" t="n">
        <f aca="false">-(Plan_Supuestos!$B$9+Plan_Supuestos!$B$10*H15)</f>
        <v>-16450.9670447445</v>
      </c>
      <c r="I29" s="5" t="n">
        <f aca="false">-(Plan_Supuestos!$B$9+Plan_Supuestos!$B$10*I15)</f>
        <v>-16529.732122784</v>
      </c>
      <c r="J29" s="5" t="n">
        <f aca="false">-(Plan_Supuestos!$B$9+Plan_Supuestos!$B$10*J15)</f>
        <v>-16612.9327959805</v>
      </c>
      <c r="K29" s="5" t="n">
        <f aca="false">-(Plan_Supuestos!$B$9+Plan_Supuestos!$B$10*K15)</f>
        <v>-16700.8217277036</v>
      </c>
      <c r="L29" s="5" t="n">
        <f aca="false">-(Plan_Supuestos!$B$9+Plan_Supuestos!$B$10*L15)</f>
        <v>-16793.6661670393</v>
      </c>
      <c r="M29" s="5" t="n">
        <f aca="false">-(Plan_Supuestos!$B$9+Plan_Supuestos!$B$10*M15)</f>
        <v>-16891.7488040633</v>
      </c>
      <c r="N29" s="5" t="n">
        <f aca="false">-(Plan_Supuestos!$B$9+Plan_Supuestos!$B$10*N15)</f>
        <v>-17040.4335305627</v>
      </c>
      <c r="O29" s="5" t="n">
        <f aca="false">-(Plan_Supuestos!$B$9+Plan_Supuestos!$B$10*O15)</f>
        <v>-17156.4644040838</v>
      </c>
      <c r="P29" s="5" t="n">
        <f aca="false">-(Plan_Supuestos!$B$9+Plan_Supuestos!$B$10*P15)</f>
        <v>-17279.1585556793</v>
      </c>
      <c r="Q29" s="5" t="n">
        <f aca="false">-(Plan_Supuestos!$B$9+Plan_Supuestos!$B$10*Q15)</f>
        <v>-17408.9030448779</v>
      </c>
      <c r="R29" s="5" t="n">
        <f aca="false">-(Plan_Supuestos!$B$9+Plan_Supuestos!$B$10*R15)</f>
        <v>-17546.1077192277</v>
      </c>
      <c r="S29" s="5" t="n">
        <f aca="false">-(Plan_Supuestos!$B$9+Plan_Supuestos!$B$10*S15)</f>
        <v>-17691.2065773733</v>
      </c>
      <c r="T29" s="5" t="n">
        <f aca="false">-(Plan_Supuestos!$B$9+Plan_Supuestos!$B$10*T15)</f>
        <v>-17844.6592152092</v>
      </c>
      <c r="U29" s="5" t="n">
        <f aca="false">-(Plan_Supuestos!$B$9+Plan_Supuestos!$B$10*U15)</f>
        <v>-18006.952360287</v>
      </c>
      <c r="V29" s="5" t="n">
        <f aca="false">-(Plan_Supuestos!$B$9+Plan_Supuestos!$B$10*V15)</f>
        <v>-18178.6014999855</v>
      </c>
      <c r="W29" s="5" t="n">
        <f aca="false">-(Plan_Supuestos!$B$9+Plan_Supuestos!$B$10*W15)</f>
        <v>-18360.1526093042</v>
      </c>
      <c r="X29" s="5" t="n">
        <f aca="false">-(Plan_Supuestos!$B$9+Plan_Supuestos!$B$10*X15)</f>
        <v>-18552.1839845185</v>
      </c>
      <c r="Y29" s="5" t="n">
        <f aca="false">-(Plan_Supuestos!$B$9+Plan_Supuestos!$B$10*Y15)</f>
        <v>-18755.3081893365</v>
      </c>
    </row>
    <row r="30" customFormat="false" ht="15" hidden="false" customHeight="false" outlineLevel="0" collapsed="false">
      <c r="A30" s="4" t="s">
        <v>173</v>
      </c>
      <c r="B30" s="5" t="n">
        <f aca="false">B28+B29</f>
        <v>1511.47810326369</v>
      </c>
      <c r="C30" s="5" t="n">
        <f aca="false">C28+C29</f>
        <v>2428.61434866302</v>
      </c>
      <c r="D30" s="5" t="n">
        <f aca="false">D28+D29</f>
        <v>3393.76882335766</v>
      </c>
      <c r="E30" s="5" t="n">
        <f aca="false">E28+E29</f>
        <v>4409.08771487522</v>
      </c>
      <c r="F30" s="5" t="n">
        <f aca="false">F28+F29</f>
        <v>5476.77918183635</v>
      </c>
      <c r="G30" s="5" t="n">
        <f aca="false">G28+G29</f>
        <v>6599.11136400719</v>
      </c>
      <c r="H30" s="5" t="n">
        <f aca="false">H28+H29</f>
        <v>7778.40980017648</v>
      </c>
      <c r="I30" s="5" t="n">
        <f aca="false">I28+I29</f>
        <v>9017.0541798446</v>
      </c>
      <c r="J30" s="5" t="n">
        <f aca="false">J28+J29</f>
        <v>10317.4743471719</v>
      </c>
      <c r="K30" s="5" t="n">
        <f aca="false">K28+K29</f>
        <v>11682.1454673938</v>
      </c>
      <c r="L30" s="5" t="n">
        <f aca="false">L28+L29</f>
        <v>13113.5822569097</v>
      </c>
      <c r="M30" s="5" t="n">
        <f aca="false">M28+M29</f>
        <v>14614.3321684203</v>
      </c>
      <c r="N30" s="5" t="n">
        <f aca="false">N28+N29</f>
        <v>16401.469095472</v>
      </c>
      <c r="O30" s="5" t="n">
        <f aca="false">O28+O29</f>
        <v>17664.1582048776</v>
      </c>
      <c r="P30" s="5" t="n">
        <f aca="false">P28+P29</f>
        <v>18958.5079981218</v>
      </c>
      <c r="Q30" s="5" t="n">
        <f aca="false">Q28+Q29</f>
        <v>20283.1838114057</v>
      </c>
      <c r="R30" s="5" t="n">
        <f aca="false">R28+R29</f>
        <v>21636.5275337676</v>
      </c>
      <c r="S30" s="5" t="n">
        <f aca="false">S28+S29</f>
        <v>23016.519538751</v>
      </c>
      <c r="T30" s="5" t="n">
        <f aca="false">T28+T29</f>
        <v>24420.7368820189</v>
      </c>
      <c r="U30" s="5" t="n">
        <f aca="false">U28+U29</f>
        <v>25846.3074272301</v>
      </c>
      <c r="V30" s="5" t="n">
        <f aca="false">V28+V29</f>
        <v>27289.8595332774</v>
      </c>
      <c r="W30" s="5" t="n">
        <f aca="false">W28+W29</f>
        <v>28747.4669043142</v>
      </c>
      <c r="X30" s="5" t="n">
        <f aca="false">X28+X29</f>
        <v>30214.5881696533</v>
      </c>
      <c r="Y30" s="5" t="n">
        <f aca="false">Y28+Y29</f>
        <v>31686.0007234047</v>
      </c>
    </row>
    <row r="31" customFormat="false" ht="15" hidden="false" customHeight="false" outlineLevel="0" collapsed="false">
      <c r="A31" s="4" t="s">
        <v>174</v>
      </c>
      <c r="B31" s="5" t="n">
        <f aca="false">-MAX(0,B30)*Plan_Supuestos!$B$12</f>
        <v>-0</v>
      </c>
      <c r="C31" s="5" t="n">
        <f aca="false">-MAX(0,C30)*Plan_Supuestos!$B$12</f>
        <v>-0</v>
      </c>
      <c r="D31" s="5" t="n">
        <f aca="false">-MAX(0,D30)*Plan_Supuestos!$B$12</f>
        <v>-0</v>
      </c>
      <c r="E31" s="5" t="n">
        <f aca="false">-MAX(0,E30)*Plan_Supuestos!$B$12</f>
        <v>-0</v>
      </c>
      <c r="F31" s="5" t="n">
        <f aca="false">-MAX(0,F30)*Plan_Supuestos!$B$12</f>
        <v>-0</v>
      </c>
      <c r="G31" s="5" t="n">
        <f aca="false">-MAX(0,G30)*Plan_Supuestos!$B$12</f>
        <v>-0</v>
      </c>
      <c r="H31" s="5" t="n">
        <f aca="false">-MAX(0,H30)*Plan_Supuestos!$B$12</f>
        <v>-0</v>
      </c>
      <c r="I31" s="5" t="n">
        <f aca="false">-MAX(0,I30)*Plan_Supuestos!$B$12</f>
        <v>-0</v>
      </c>
      <c r="J31" s="5" t="n">
        <f aca="false">-MAX(0,J30)*Plan_Supuestos!$B$12</f>
        <v>-0</v>
      </c>
      <c r="K31" s="5" t="n">
        <f aca="false">-MAX(0,K30)*Plan_Supuestos!$B$12</f>
        <v>-0</v>
      </c>
      <c r="L31" s="5" t="n">
        <f aca="false">-MAX(0,L30)*Plan_Supuestos!$B$12</f>
        <v>-0</v>
      </c>
      <c r="M31" s="5" t="n">
        <f aca="false">-MAX(0,M30)*Plan_Supuestos!$B$12</f>
        <v>-0</v>
      </c>
      <c r="N31" s="5" t="n">
        <f aca="false">-MAX(0,N30)*Plan_Supuestos!$B$12</f>
        <v>-0</v>
      </c>
      <c r="O31" s="5" t="n">
        <f aca="false">-MAX(0,O30)*Plan_Supuestos!$B$12</f>
        <v>-0</v>
      </c>
      <c r="P31" s="5" t="n">
        <f aca="false">-MAX(0,P30)*Plan_Supuestos!$B$12</f>
        <v>-0</v>
      </c>
      <c r="Q31" s="5" t="n">
        <f aca="false">-MAX(0,Q30)*Plan_Supuestos!$B$12</f>
        <v>-0</v>
      </c>
      <c r="R31" s="5" t="n">
        <f aca="false">-MAX(0,R30)*Plan_Supuestos!$B$12</f>
        <v>-0</v>
      </c>
      <c r="S31" s="5" t="n">
        <f aca="false">-MAX(0,S30)*Plan_Supuestos!$B$12</f>
        <v>-0</v>
      </c>
      <c r="T31" s="5" t="n">
        <f aca="false">-MAX(0,T30)*Plan_Supuestos!$B$12</f>
        <v>-0</v>
      </c>
      <c r="U31" s="5" t="n">
        <f aca="false">-MAX(0,U30)*Plan_Supuestos!$B$12</f>
        <v>-0</v>
      </c>
      <c r="V31" s="5" t="n">
        <f aca="false">-MAX(0,V30)*Plan_Supuestos!$B$12</f>
        <v>-0</v>
      </c>
      <c r="W31" s="5" t="n">
        <f aca="false">-MAX(0,W30)*Plan_Supuestos!$B$12</f>
        <v>-0</v>
      </c>
      <c r="X31" s="5" t="n">
        <f aca="false">-MAX(0,X30)*Plan_Supuestos!$B$12</f>
        <v>-0</v>
      </c>
      <c r="Y31" s="5" t="n">
        <f aca="false">-MAX(0,Y30)*Plan_Supuestos!$B$12</f>
        <v>-0</v>
      </c>
    </row>
    <row r="32" customFormat="false" ht="15" hidden="false" customHeight="false" outlineLevel="0" collapsed="false">
      <c r="A32" s="8" t="s">
        <v>175</v>
      </c>
      <c r="B32" s="9" t="n">
        <f aca="false">B30+B31</f>
        <v>1511.47810326369</v>
      </c>
      <c r="C32" s="9" t="n">
        <f aca="false">C30+C31</f>
        <v>2428.61434866302</v>
      </c>
      <c r="D32" s="9" t="n">
        <f aca="false">D30+D31</f>
        <v>3393.76882335766</v>
      </c>
      <c r="E32" s="9" t="n">
        <f aca="false">E30+E31</f>
        <v>4409.08771487522</v>
      </c>
      <c r="F32" s="9" t="n">
        <f aca="false">F30+F31</f>
        <v>5476.77918183635</v>
      </c>
      <c r="G32" s="9" t="n">
        <f aca="false">G30+G31</f>
        <v>6599.11136400719</v>
      </c>
      <c r="H32" s="9" t="n">
        <f aca="false">H30+H31</f>
        <v>7778.40980017648</v>
      </c>
      <c r="I32" s="9" t="n">
        <f aca="false">I30+I31</f>
        <v>9017.0541798446</v>
      </c>
      <c r="J32" s="9" t="n">
        <f aca="false">J30+J31</f>
        <v>10317.4743471719</v>
      </c>
      <c r="K32" s="9" t="n">
        <f aca="false">K30+K31</f>
        <v>11682.1454673938</v>
      </c>
      <c r="L32" s="9" t="n">
        <f aca="false">L30+L31</f>
        <v>13113.5822569097</v>
      </c>
      <c r="M32" s="9" t="n">
        <f aca="false">M30+M31</f>
        <v>14614.3321684203</v>
      </c>
      <c r="N32" s="9" t="n">
        <f aca="false">N30+N31</f>
        <v>16401.469095472</v>
      </c>
      <c r="O32" s="9" t="n">
        <f aca="false">O30+O31</f>
        <v>17664.1582048776</v>
      </c>
      <c r="P32" s="9" t="n">
        <f aca="false">P30+P31</f>
        <v>18958.5079981218</v>
      </c>
      <c r="Q32" s="9" t="n">
        <f aca="false">Q30+Q31</f>
        <v>20283.1838114057</v>
      </c>
      <c r="R32" s="9" t="n">
        <f aca="false">R30+R31</f>
        <v>21636.5275337676</v>
      </c>
      <c r="S32" s="9" t="n">
        <f aca="false">S30+S31</f>
        <v>23016.519538751</v>
      </c>
      <c r="T32" s="9" t="n">
        <f aca="false">T30+T31</f>
        <v>24420.7368820189</v>
      </c>
      <c r="U32" s="9" t="n">
        <f aca="false">U30+U31</f>
        <v>25846.3074272301</v>
      </c>
      <c r="V32" s="9" t="n">
        <f aca="false">V30+V31</f>
        <v>27289.8595332774</v>
      </c>
      <c r="W32" s="9" t="n">
        <f aca="false">W30+W31</f>
        <v>28747.4669043142</v>
      </c>
      <c r="X32" s="9" t="n">
        <f aca="false">X30+X31</f>
        <v>30214.5881696533</v>
      </c>
      <c r="Y32" s="9" t="n">
        <f aca="false">Y30+Y31</f>
        <v>31686.0007234047</v>
      </c>
    </row>
    <row r="33" customFormat="false" ht="15" hidden="false" customHeight="false" outlineLevel="0" collapsed="false">
      <c r="A33" s="4" t="s">
        <v>176</v>
      </c>
      <c r="B33" s="5" t="n">
        <f aca="false">B32</f>
        <v>1511.47810326369</v>
      </c>
      <c r="C33" s="5" t="n">
        <f aca="false">B33+C32</f>
        <v>3940.09245192671</v>
      </c>
      <c r="D33" s="5" t="n">
        <f aca="false">C33+D32</f>
        <v>7333.86127528437</v>
      </c>
      <c r="E33" s="5" t="n">
        <f aca="false">D33+E32</f>
        <v>11742.9489901596</v>
      </c>
      <c r="F33" s="5" t="n">
        <f aca="false">E33+F32</f>
        <v>17219.7281719959</v>
      </c>
      <c r="G33" s="5" t="n">
        <f aca="false">F33+G32</f>
        <v>23818.8395360031</v>
      </c>
      <c r="H33" s="5" t="n">
        <f aca="false">G33+H32</f>
        <v>31597.2493361796</v>
      </c>
      <c r="I33" s="5" t="n">
        <f aca="false">H33+I32</f>
        <v>40614.3035160242</v>
      </c>
      <c r="J33" s="5" t="n">
        <f aca="false">I33+J32</f>
        <v>50931.7778631961</v>
      </c>
      <c r="K33" s="5" t="n">
        <f aca="false">J33+K32</f>
        <v>62613.9233305899</v>
      </c>
      <c r="L33" s="5" t="n">
        <f aca="false">K33+L32</f>
        <v>75727.5055874995</v>
      </c>
      <c r="M33" s="5" t="n">
        <f aca="false">L33+M32</f>
        <v>90341.8377559199</v>
      </c>
      <c r="N33" s="5" t="n">
        <f aca="false">M33+N32</f>
        <v>106743.306851392</v>
      </c>
      <c r="O33" s="5" t="n">
        <f aca="false">N33+O32</f>
        <v>124407.465056269</v>
      </c>
      <c r="P33" s="5" t="n">
        <f aca="false">O33+P32</f>
        <v>143365.973054391</v>
      </c>
      <c r="Q33" s="5" t="n">
        <f aca="false">P33+Q32</f>
        <v>163649.156865797</v>
      </c>
      <c r="R33" s="5" t="n">
        <f aca="false">Q33+R32</f>
        <v>185285.684399565</v>
      </c>
      <c r="S33" s="5" t="n">
        <f aca="false">R33+S32</f>
        <v>208302.203938316</v>
      </c>
      <c r="T33" s="5" t="n">
        <f aca="false">S33+T32</f>
        <v>232722.940820335</v>
      </c>
      <c r="U33" s="5" t="n">
        <f aca="false">T33+U32</f>
        <v>258569.248247565</v>
      </c>
      <c r="V33" s="5" t="n">
        <f aca="false">U33+V32</f>
        <v>285859.107780842</v>
      </c>
      <c r="W33" s="5" t="n">
        <f aca="false">V33+W32</f>
        <v>314606.574685156</v>
      </c>
      <c r="X33" s="5" t="n">
        <f aca="false">W33+X32</f>
        <v>344821.162854809</v>
      </c>
      <c r="Y33" s="5" t="n">
        <f aca="false">X33+Y32</f>
        <v>376507.163578214</v>
      </c>
    </row>
    <row r="34" customFormat="false" ht="15" hidden="false" customHeight="false" outlineLevel="0" collapsed="false">
      <c r="A34" s="4" t="s">
        <v>177</v>
      </c>
      <c r="M34" s="5" t="n">
        <f aca="false">SUM(B32:M32)</f>
        <v>90341.8377559199</v>
      </c>
      <c r="N34" s="5" t="n">
        <f aca="false">SUM(C32:N32)</f>
        <v>105231.828748128</v>
      </c>
      <c r="O34" s="5" t="n">
        <f aca="false">SUM(D32:O32)</f>
        <v>120467.372604343</v>
      </c>
      <c r="P34" s="5" t="n">
        <f aca="false">SUM(E32:P32)</f>
        <v>136032.111779107</v>
      </c>
      <c r="Q34" s="5" t="n">
        <f aca="false">SUM(F32:Q32)</f>
        <v>151906.207875637</v>
      </c>
      <c r="R34" s="5" t="n">
        <f aca="false">SUM(G32:R32)</f>
        <v>168065.956227569</v>
      </c>
      <c r="S34" s="5" t="n">
        <f aca="false">SUM(H32:S32)</f>
        <v>184483.364402313</v>
      </c>
      <c r="T34" s="5" t="n">
        <f aca="false">SUM(I32:T32)</f>
        <v>201125.691484155</v>
      </c>
      <c r="U34" s="5" t="n">
        <f aca="false">SUM(J32:U32)</f>
        <v>217954.94473154</v>
      </c>
      <c r="V34" s="5" t="n">
        <f aca="false">SUM(K32:V32)</f>
        <v>234927.329917646</v>
      </c>
      <c r="W34" s="5" t="n">
        <f aca="false">SUM(L32:W32)</f>
        <v>251992.651354566</v>
      </c>
      <c r="X34" s="5" t="n">
        <f aca="false">SUM(M32:X32)</f>
        <v>269093.65726731</v>
      </c>
      <c r="Y34" s="5" t="n">
        <f aca="false">SUM(N32:Y32)</f>
        <v>286165.325822294</v>
      </c>
    </row>
    <row r="35" customFormat="false" ht="15" hidden="false" customHeight="false" outlineLevel="0" collapsed="false">
      <c r="A35" s="4" t="s">
        <v>178</v>
      </c>
      <c r="B35" s="5" t="n">
        <f aca="false">B32*12</f>
        <v>18137.7372391643</v>
      </c>
      <c r="C35" s="5" t="n">
        <f aca="false">C32*12</f>
        <v>29143.3721839563</v>
      </c>
      <c r="D35" s="5" t="n">
        <f aca="false">D32*12</f>
        <v>40725.2258802919</v>
      </c>
      <c r="E35" s="5" t="n">
        <f aca="false">E32*12</f>
        <v>52909.0525785026</v>
      </c>
      <c r="F35" s="5" t="n">
        <f aca="false">F32*12</f>
        <v>65721.3501820361</v>
      </c>
      <c r="G35" s="5" t="n">
        <f aca="false">G32*12</f>
        <v>79189.3363680863</v>
      </c>
      <c r="H35" s="5" t="n">
        <f aca="false">H32*12</f>
        <v>93340.9176021178</v>
      </c>
      <c r="I35" s="5" t="n">
        <f aca="false">I32*12</f>
        <v>108204.650158135</v>
      </c>
      <c r="J35" s="5" t="n">
        <f aca="false">J32*12</f>
        <v>123809.692166062</v>
      </c>
      <c r="K35" s="5" t="n">
        <f aca="false">K32*12</f>
        <v>140185.745608725</v>
      </c>
      <c r="L35" s="5" t="n">
        <f aca="false">L32*12</f>
        <v>157362.987082916</v>
      </c>
      <c r="M35" s="5" t="n">
        <f aca="false">M32*12</f>
        <v>175371.986021044</v>
      </c>
      <c r="N35" s="5" t="n">
        <f aca="false">N32*12</f>
        <v>196817.629145664</v>
      </c>
      <c r="O35" s="5" t="n">
        <f aca="false">O32*12</f>
        <v>211969.898458531</v>
      </c>
      <c r="P35" s="5" t="n">
        <f aca="false">P32*12</f>
        <v>227502.095977462</v>
      </c>
      <c r="Q35" s="5" t="n">
        <f aca="false">Q32*12</f>
        <v>243398.205736869</v>
      </c>
      <c r="R35" s="5" t="n">
        <f aca="false">R32*12</f>
        <v>259638.330405212</v>
      </c>
      <c r="S35" s="5" t="n">
        <f aca="false">S32*12</f>
        <v>276198.234465012</v>
      </c>
      <c r="T35" s="5" t="n">
        <f aca="false">T32*12</f>
        <v>293048.842584227</v>
      </c>
      <c r="U35" s="5" t="n">
        <f aca="false">U32*12</f>
        <v>310155.689126761</v>
      </c>
      <c r="V35" s="5" t="n">
        <f aca="false">V32*12</f>
        <v>327478.314399329</v>
      </c>
      <c r="W35" s="5" t="n">
        <f aca="false">W32*12</f>
        <v>344969.60285177</v>
      </c>
      <c r="X35" s="5" t="n">
        <f aca="false">X32*12</f>
        <v>362575.058035839</v>
      </c>
      <c r="Y35" s="5" t="n">
        <f aca="false">Y32*12</f>
        <v>380232.008680856</v>
      </c>
    </row>
    <row r="36" customFormat="false" ht="15" hidden="false" customHeight="false" outlineLevel="0" collapsed="false">
      <c r="A36" s="8" t="s">
        <v>179</v>
      </c>
      <c r="B36" s="18" t="n">
        <f aca="false">B35/Plan_Supuestos!$B$13</f>
        <v>5182.21063976122</v>
      </c>
      <c r="C36" s="18" t="n">
        <f aca="false">C35/Plan_Supuestos!$B$13</f>
        <v>8326.67776684465</v>
      </c>
      <c r="D36" s="18" t="n">
        <f aca="false">D35/Plan_Supuestos!$B$13</f>
        <v>11635.7788229406</v>
      </c>
      <c r="E36" s="18" t="n">
        <f aca="false">E35/Plan_Supuestos!$B$13</f>
        <v>15116.8721652865</v>
      </c>
      <c r="F36" s="18" t="n">
        <f aca="false">F35/Plan_Supuestos!$B$13</f>
        <v>18777.5286234389</v>
      </c>
      <c r="G36" s="18" t="n">
        <f aca="false">G35/Plan_Supuestos!$B$13</f>
        <v>22625.5246765961</v>
      </c>
      <c r="H36" s="18" t="n">
        <f aca="false">H35/Plan_Supuestos!$B$13</f>
        <v>26668.8336006051</v>
      </c>
      <c r="I36" s="18" t="n">
        <f aca="false">I35/Plan_Supuestos!$B$13</f>
        <v>30915.6143308958</v>
      </c>
      <c r="J36" s="18" t="n">
        <f aca="false">J35/Plan_Supuestos!$B$13</f>
        <v>35374.1977617321</v>
      </c>
      <c r="K36" s="18" t="n">
        <f aca="false">K35/Plan_Supuestos!$B$13</f>
        <v>40053.0701739215</v>
      </c>
      <c r="L36" s="18" t="n">
        <f aca="false">L35/Plan_Supuestos!$B$13</f>
        <v>44960.8534522617</v>
      </c>
      <c r="M36" s="18" t="n">
        <f aca="false">M35/Plan_Supuestos!$B$13</f>
        <v>50106.2817202983</v>
      </c>
      <c r="N36" s="18" t="n">
        <f aca="false">N35/Plan_Supuestos!$B$13</f>
        <v>56233.6083273326</v>
      </c>
      <c r="O36" s="18" t="n">
        <f aca="false">O35/Plan_Supuestos!$B$13</f>
        <v>60562.8281310089</v>
      </c>
      <c r="P36" s="18" t="n">
        <f aca="false">P35/Plan_Supuestos!$B$13</f>
        <v>65000.5988507033</v>
      </c>
      <c r="Q36" s="18" t="n">
        <f aca="false">Q35/Plan_Supuestos!$B$13</f>
        <v>69542.3444962482</v>
      </c>
      <c r="R36" s="18" t="n">
        <f aca="false">R35/Plan_Supuestos!$B$13</f>
        <v>74182.3801157748</v>
      </c>
      <c r="S36" s="18" t="n">
        <f aca="false">S35/Plan_Supuestos!$B$13</f>
        <v>78913.7812757177</v>
      </c>
      <c r="T36" s="18" t="n">
        <f aca="false">T35/Plan_Supuestos!$B$13</f>
        <v>83728.2407383504</v>
      </c>
      <c r="U36" s="18" t="n">
        <f aca="false">U35/Plan_Supuestos!$B$13</f>
        <v>88615.9111790745</v>
      </c>
      <c r="V36" s="18" t="n">
        <f aca="false">V35/Plan_Supuestos!$B$13</f>
        <v>93565.2326855226</v>
      </c>
      <c r="W36" s="18" t="n">
        <f aca="false">W35/Plan_Supuestos!$B$13</f>
        <v>98562.7436719343</v>
      </c>
      <c r="X36" s="18" t="n">
        <f aca="false">X35/Plan_Supuestos!$B$13</f>
        <v>103592.873724526</v>
      </c>
      <c r="Y36" s="18" t="n">
        <f aca="false">Y35/Plan_Supuestos!$B$13</f>
        <v>108637.716765959</v>
      </c>
    </row>
    <row r="37" customFormat="false" ht="15" hidden="false" customHeight="false" outlineLevel="0" collapsed="false">
      <c r="A37" s="4" t="s">
        <v>180</v>
      </c>
      <c r="B37" s="5" t="n">
        <f aca="false">IF(B36&gt;=Plan_Supuestos!$B$14,1,0)</f>
        <v>0</v>
      </c>
      <c r="C37" s="5" t="n">
        <f aca="false">IF(C36&gt;=Plan_Supuestos!$B$14,1,0)</f>
        <v>0</v>
      </c>
      <c r="D37" s="5" t="n">
        <f aca="false">IF(D36&gt;=Plan_Supuestos!$B$14,1,0)</f>
        <v>0</v>
      </c>
      <c r="E37" s="5" t="n">
        <f aca="false">IF(E36&gt;=Plan_Supuestos!$B$14,1,0)</f>
        <v>0</v>
      </c>
      <c r="F37" s="5" t="n">
        <f aca="false">IF(F36&gt;=Plan_Supuestos!$B$14,1,0)</f>
        <v>0</v>
      </c>
      <c r="G37" s="5" t="n">
        <f aca="false">IF(G36&gt;=Plan_Supuestos!$B$14,1,0)</f>
        <v>0</v>
      </c>
      <c r="H37" s="5" t="n">
        <f aca="false">IF(H36&gt;=Plan_Supuestos!$B$14,1,0)</f>
        <v>0</v>
      </c>
      <c r="I37" s="5" t="n">
        <f aca="false">IF(I36&gt;=Plan_Supuestos!$B$14,1,0)</f>
        <v>0</v>
      </c>
      <c r="J37" s="5" t="n">
        <f aca="false">IF(J36&gt;=Plan_Supuestos!$B$14,1,0)</f>
        <v>0</v>
      </c>
      <c r="K37" s="5" t="n">
        <f aca="false">IF(K36&gt;=Plan_Supuestos!$B$14,1,0)</f>
        <v>0</v>
      </c>
      <c r="L37" s="5" t="n">
        <f aca="false">IF(L36&gt;=Plan_Supuestos!$B$14,1,0)</f>
        <v>0</v>
      </c>
      <c r="M37" s="5" t="n">
        <f aca="false">IF(M36&gt;=Plan_Supuestos!$B$14,1,0)</f>
        <v>0</v>
      </c>
      <c r="N37" s="5" t="n">
        <f aca="false">IF(N36&gt;=Plan_Supuestos!$B$14,1,0)</f>
        <v>0</v>
      </c>
      <c r="O37" s="5" t="n">
        <f aca="false">IF(O36&gt;=Plan_Supuestos!$B$14,1,0)</f>
        <v>0</v>
      </c>
      <c r="P37" s="5" t="n">
        <f aca="false">IF(P36&gt;=Plan_Supuestos!$B$14,1,0)</f>
        <v>0</v>
      </c>
      <c r="Q37" s="5" t="n">
        <f aca="false">IF(Q36&gt;=Plan_Supuestos!$B$14,1,0)</f>
        <v>0</v>
      </c>
      <c r="R37" s="5" t="n">
        <f aca="false">IF(R36&gt;=Plan_Supuestos!$B$14,1,0)</f>
        <v>0</v>
      </c>
      <c r="S37" s="5" t="n">
        <f aca="false">IF(S36&gt;=Plan_Supuestos!$B$14,1,0)</f>
        <v>0</v>
      </c>
      <c r="T37" s="5" t="n">
        <f aca="false">IF(T36&gt;=Plan_Supuestos!$B$14,1,0)</f>
        <v>0</v>
      </c>
      <c r="U37" s="5" t="n">
        <f aca="false">IF(U36&gt;=Plan_Supuestos!$B$14,1,0)</f>
        <v>0</v>
      </c>
      <c r="V37" s="5" t="n">
        <f aca="false">IF(V36&gt;=Plan_Supuestos!$B$14,1,0)</f>
        <v>0</v>
      </c>
      <c r="W37" s="5" t="n">
        <f aca="false">IF(W36&gt;=Plan_Supuestos!$B$14,1,0)</f>
        <v>0</v>
      </c>
      <c r="X37" s="5" t="n">
        <f aca="false">IF(X36&gt;=Plan_Supuestos!$B$14,1,0)</f>
        <v>0</v>
      </c>
      <c r="Y37" s="5" t="n">
        <f aca="false">IF(Y36&gt;=Plan_Supuestos!$B$14,1,0)</f>
        <v>0</v>
      </c>
    </row>
    <row r="38" customFormat="false" ht="15" hidden="false" customHeight="false" outlineLevel="0" collapsed="false">
      <c r="A38" s="4" t="s">
        <v>181</v>
      </c>
      <c r="B38" s="5" t="n">
        <f aca="false">B12*(Plan_Supuestos!$B$8*Supuestos!$B$7+(1-Plan_Supuestos!$B$8)*Supuestos!$B$8)*SUMPRODUCT(B17:B22,Plan_Supuestos!$F$30:$F$35)+B14*Plan_Supuestos!$F$36</f>
        <v>3608.12689798559</v>
      </c>
      <c r="C38" s="5" t="n">
        <f aca="false">C12*(Plan_Supuestos!$B$8*Supuestos!$B$7+(1-Plan_Supuestos!$B$8)*Supuestos!$B$8)*SUMPRODUCT(C17:C22,Plan_Supuestos!$F$30:$F$35)+C14*Plan_Supuestos!$F$36</f>
        <v>4014.18732693623</v>
      </c>
      <c r="D38" s="5" t="n">
        <f aca="false">D12*(Plan_Supuestos!$B$8*Supuestos!$B$7+(1-Plan_Supuestos!$B$8)*Supuestos!$B$8)*SUMPRODUCT(D17:D22,Plan_Supuestos!$F$30:$F$35)+D14*Plan_Supuestos!$F$36</f>
        <v>4454.32317838682</v>
      </c>
      <c r="E38" s="5" t="n">
        <f aca="false">E12*(Plan_Supuestos!$B$8*Supuestos!$B$7+(1-Plan_Supuestos!$B$8)*Supuestos!$B$8)*SUMPRODUCT(E17:E22,Plan_Supuestos!$F$30:$F$35)+E14*Plan_Supuestos!$F$36</f>
        <v>4931.09378768473</v>
      </c>
      <c r="F38" s="5" t="n">
        <f aca="false">F12*(Plan_Supuestos!$B$8*Supuestos!$B$7+(1-Plan_Supuestos!$B$8)*Supuestos!$B$8)*SUMPRODUCT(F17:F22,Plan_Supuestos!$F$30:$F$35)+F14*Plan_Supuestos!$F$36</f>
        <v>5447.24050655446</v>
      </c>
      <c r="G38" s="5" t="n">
        <f aca="false">G12*(Plan_Supuestos!$B$8*Supuestos!$B$7+(1-Plan_Supuestos!$B$8)*Supuestos!$B$8)*SUMPRODUCT(G17:G22,Plan_Supuestos!$F$30:$F$35)+G14*Plan_Supuestos!$F$36</f>
        <v>6005.69928362316</v>
      </c>
      <c r="H38" s="5" t="n">
        <f aca="false">H12*(Plan_Supuestos!$B$8*Supuestos!$B$7+(1-Plan_Supuestos!$B$8)*Supuestos!$B$8)*SUMPRODUCT(H17:H22,Plan_Supuestos!$F$30:$F$35)+H14*Plan_Supuestos!$F$36</f>
        <v>6609.61410282133</v>
      </c>
      <c r="I38" s="5" t="n">
        <f aca="false">I12*(Plan_Supuestos!$B$8*Supuestos!$B$7+(1-Plan_Supuestos!$B$8)*Supuestos!$B$8)*SUMPRODUCT(I17:I22,Plan_Supuestos!$F$30:$F$35)+I14*Plan_Supuestos!$F$36</f>
        <v>7262.35133796941</v>
      </c>
      <c r="J38" s="5" t="n">
        <f aca="false">J12*(Plan_Supuestos!$B$8*Supuestos!$B$7+(1-Plan_Supuestos!$B$8)*Supuestos!$B$8)*SUMPRODUCT(J17:J22,Plan_Supuestos!$F$30:$F$35)+J14*Plan_Supuestos!$F$36</f>
        <v>7967.51508584274</v>
      </c>
      <c r="K38" s="5" t="n">
        <f aca="false">K12*(Plan_Supuestos!$B$8*Supuestos!$B$7+(1-Plan_Supuestos!$B$8)*Supuestos!$B$8)*SUMPRODUCT(K17:K22,Plan_Supuestos!$F$30:$F$35)+K14*Plan_Supuestos!$F$36</f>
        <v>8728.96354426597</v>
      </c>
      <c r="L38" s="5" t="n">
        <f aca="false">L12*(Plan_Supuestos!$B$8*Supuestos!$B$7+(1-Plan_Supuestos!$B$8)*Supuestos!$B$8)*SUMPRODUCT(L17:L22,Plan_Supuestos!$F$30:$F$35)+L14*Plan_Supuestos!$F$36</f>
        <v>9550.82650633965</v>
      </c>
      <c r="M38" s="5" t="n">
        <f aca="false">M12*(Plan_Supuestos!$B$8*Supuestos!$B$7+(1-Plan_Supuestos!$B$8)*Supuestos!$B$8)*SUMPRODUCT(M17:M22,Plan_Supuestos!$F$30:$F$35)+M14*Plan_Supuestos!$F$36</f>
        <v>10437.5240467699</v>
      </c>
      <c r="N38" s="5" t="n">
        <f aca="false">N12*(Plan_Supuestos!$B$8*Supuestos!$B$7+(1-Plan_Supuestos!$B$8)*Supuestos!$B$8)*SUMPRODUCT(N17:N22,Plan_Supuestos!$F$30:$F$35)+N14*Plan_Supuestos!$F$36</f>
        <v>11018.3872152425</v>
      </c>
      <c r="O38" s="5" t="n">
        <f aca="false">O12*(Plan_Supuestos!$B$8*Supuestos!$B$7+(1-Plan_Supuestos!$B$8)*Supuestos!$B$8)*SUMPRODUCT(O17:O22,Plan_Supuestos!$F$30:$F$35)+O14*Plan_Supuestos!$F$36</f>
        <v>11645.5763400682</v>
      </c>
      <c r="P38" s="5" t="n">
        <f aca="false">P12*(Plan_Supuestos!$B$8*Supuestos!$B$7+(1-Plan_Supuestos!$B$8)*Supuestos!$B$8)*SUMPRODUCT(P17:P22,Plan_Supuestos!$F$30:$F$35)+P14*Plan_Supuestos!$F$36</f>
        <v>12308.8183695265</v>
      </c>
      <c r="Q38" s="5" t="n">
        <f aca="false">Q12*(Plan_Supuestos!$B$8*Supuestos!$B$7+(1-Plan_Supuestos!$B$8)*Supuestos!$B$8)*SUMPRODUCT(Q17:Q22,Plan_Supuestos!$F$30:$F$35)+Q14*Plan_Supuestos!$F$36</f>
        <v>13010.2096285061</v>
      </c>
      <c r="R38" s="5" t="n">
        <f aca="false">R12*(Plan_Supuestos!$B$8*Supuestos!$B$7+(1-Plan_Supuestos!$B$8)*Supuestos!$B$8)*SUMPRODUCT(R17:R22,Plan_Supuestos!$F$30:$F$35)+R14*Plan_Supuestos!$F$36</f>
        <v>13751.9699856149</v>
      </c>
      <c r="S38" s="5" t="n">
        <f aca="false">S12*(Plan_Supuestos!$B$8*Supuestos!$B$7+(1-Plan_Supuestos!$B$8)*Supuestos!$B$8)*SUMPRODUCT(S17:S22,Plan_Supuestos!$F$30:$F$35)+S14*Plan_Supuestos!$F$36</f>
        <v>14536.4502505355</v>
      </c>
      <c r="T38" s="5" t="n">
        <f aca="false">T12*(Plan_Supuestos!$B$8*Supuestos!$B$7+(1-Plan_Supuestos!$B$8)*Supuestos!$B$8)*SUMPRODUCT(T17:T22,Plan_Supuestos!$F$30:$F$35)+T14*Plan_Supuestos!$F$36</f>
        <v>15366.1400227082</v>
      </c>
      <c r="U38" s="5" t="n">
        <f aca="false">U12*(Plan_Supuestos!$B$8*Supuestos!$B$7+(1-Plan_Supuestos!$B$8)*Supuestos!$B$8)*SUMPRODUCT(U17:U22,Plan_Supuestos!$F$30:$F$35)+U14*Plan_Supuestos!$F$36</f>
        <v>16243.6760194982</v>
      </c>
      <c r="V38" s="5" t="n">
        <f aca="false">V12*(Plan_Supuestos!$B$8*Supuestos!$B$7+(1-Plan_Supuestos!$B$8)*Supuestos!$B$8)*SUMPRODUCT(V17:V22,Plan_Supuestos!$F$30:$F$35)+V14*Plan_Supuestos!$F$36</f>
        <v>17171.8509138058</v>
      </c>
      <c r="W38" s="5" t="n">
        <f aca="false">W12*(Plan_Supuestos!$B$8*Supuestos!$B$7+(1-Plan_Supuestos!$B$8)*Supuestos!$B$8)*SUMPRODUCT(W17:W22,Plan_Supuestos!$F$30:$F$35)+W14*Plan_Supuestos!$F$36</f>
        <v>18153.6227130036</v>
      </c>
      <c r="X38" s="5" t="n">
        <f aca="false">X12*(Plan_Supuestos!$B$8*Supuestos!$B$7+(1-Plan_Supuestos!$B$8)*Supuestos!$B$8)*SUMPRODUCT(X17:X22,Plan_Supuestos!$F$30:$F$35)+X14*Plan_Supuestos!$F$36</f>
        <v>19192.1247131313</v>
      </c>
      <c r="Y38" s="5" t="n">
        <f aca="false">Y12*(Plan_Supuestos!$B$8*Supuestos!$B$7+(1-Plan_Supuestos!$B$8)*Supuestos!$B$8)*SUMPRODUCT(Y17:Y22,Plan_Supuestos!$F$30:$F$35)+Y14*Plan_Supuestos!$F$36</f>
        <v>20290.6760644686</v>
      </c>
    </row>
    <row r="39" customFormat="false" ht="15" hidden="false" customHeight="false" outlineLevel="0" collapsed="false">
      <c r="A39" s="4" t="s">
        <v>182</v>
      </c>
      <c r="B39" s="5" t="n">
        <f aca="false">B38*Plan_Supuestos!$B$11</f>
        <v>18040.6344899279</v>
      </c>
      <c r="C39" s="5" t="n">
        <f aca="false">C38*Plan_Supuestos!$B$11</f>
        <v>20070.9366346811</v>
      </c>
      <c r="D39" s="5" t="n">
        <f aca="false">D38*Plan_Supuestos!$B$11</f>
        <v>22271.6158919341</v>
      </c>
      <c r="E39" s="5" t="n">
        <f aca="false">E38*Plan_Supuestos!$B$11</f>
        <v>24655.4689384236</v>
      </c>
      <c r="F39" s="5" t="n">
        <f aca="false">F38*Plan_Supuestos!$B$11</f>
        <v>27236.2025327723</v>
      </c>
      <c r="G39" s="5" t="n">
        <f aca="false">G38*Plan_Supuestos!$B$11</f>
        <v>30028.4964181158</v>
      </c>
      <c r="H39" s="5" t="n">
        <f aca="false">H38*Plan_Supuestos!$B$11</f>
        <v>33048.0705141067</v>
      </c>
      <c r="I39" s="5" t="n">
        <f aca="false">I38*Plan_Supuestos!$B$11</f>
        <v>36311.756689847</v>
      </c>
      <c r="J39" s="5" t="n">
        <f aca="false">J38*Plan_Supuestos!$B$11</f>
        <v>39837.5754292137</v>
      </c>
      <c r="K39" s="5" t="n">
        <f aca="false">K38*Plan_Supuestos!$B$11</f>
        <v>43644.8177213299</v>
      </c>
      <c r="L39" s="5" t="n">
        <f aca="false">L38*Plan_Supuestos!$B$11</f>
        <v>47754.1325316982</v>
      </c>
      <c r="M39" s="5" t="n">
        <f aca="false">M38*Plan_Supuestos!$B$11</f>
        <v>52187.6202338496</v>
      </c>
      <c r="N39" s="5" t="n">
        <f aca="false">N38*Plan_Supuestos!$B$11</f>
        <v>55091.9360762127</v>
      </c>
      <c r="O39" s="5" t="n">
        <f aca="false">O38*Plan_Supuestos!$B$11</f>
        <v>58227.8817003412</v>
      </c>
      <c r="P39" s="5" t="n">
        <f aca="false">P38*Plan_Supuestos!$B$11</f>
        <v>61544.0918476324</v>
      </c>
      <c r="Q39" s="5" t="n">
        <f aca="false">Q38*Plan_Supuestos!$B$11</f>
        <v>65051.0481425305</v>
      </c>
      <c r="R39" s="5" t="n">
        <f aca="false">R38*Plan_Supuestos!$B$11</f>
        <v>68759.8499280747</v>
      </c>
      <c r="S39" s="5" t="n">
        <f aca="false">S38*Plan_Supuestos!$B$11</f>
        <v>72682.2512526776</v>
      </c>
      <c r="T39" s="5" t="n">
        <f aca="false">T38*Plan_Supuestos!$B$11</f>
        <v>76830.700113541</v>
      </c>
      <c r="U39" s="5" t="n">
        <f aca="false">U38*Plan_Supuestos!$B$11</f>
        <v>81218.3800974908</v>
      </c>
      <c r="V39" s="5" t="n">
        <f aca="false">V38*Plan_Supuestos!$B$11</f>
        <v>85859.2545690291</v>
      </c>
      <c r="W39" s="5" t="n">
        <f aca="false">W38*Plan_Supuestos!$B$11</f>
        <v>90768.113565018</v>
      </c>
      <c r="X39" s="5" t="n">
        <f aca="false">X38*Plan_Supuestos!$B$11</f>
        <v>95960.6235656566</v>
      </c>
      <c r="Y39" s="5" t="n">
        <f aca="false">Y38*Plan_Supuestos!$B$11</f>
        <v>101453.380322343</v>
      </c>
    </row>
    <row r="40" customFormat="false" ht="15" hidden="false" customHeight="false" outlineLevel="0" collapsed="false">
      <c r="A40" s="4" t="s">
        <v>183</v>
      </c>
      <c r="B40" s="5" t="n">
        <f aca="false">0</f>
        <v>0</v>
      </c>
      <c r="C40" s="5" t="n">
        <f aca="false">C39-B39</f>
        <v>2030.3021447532</v>
      </c>
      <c r="D40" s="5" t="n">
        <f aca="false">D39-C39</f>
        <v>2200.67925725295</v>
      </c>
      <c r="E40" s="5" t="n">
        <f aca="false">E39-D39</f>
        <v>2383.85304648956</v>
      </c>
      <c r="F40" s="5" t="n">
        <f aca="false">F39-E39</f>
        <v>2580.73359434868</v>
      </c>
      <c r="G40" s="5" t="n">
        <f aca="false">G39-F39</f>
        <v>2792.29388534346</v>
      </c>
      <c r="H40" s="5" t="n">
        <f aca="false">H39-G39</f>
        <v>3019.57409599089</v>
      </c>
      <c r="I40" s="5" t="n">
        <f aca="false">I39-H39</f>
        <v>3263.68617574037</v>
      </c>
      <c r="J40" s="5" t="n">
        <f aca="false">J39-I39</f>
        <v>3525.81873936665</v>
      </c>
      <c r="K40" s="5" t="n">
        <f aca="false">K39-J39</f>
        <v>3807.24229211616</v>
      </c>
      <c r="L40" s="5" t="n">
        <f aca="false">L39-K39</f>
        <v>4109.31481036839</v>
      </c>
      <c r="M40" s="5" t="n">
        <f aca="false">M39-L39</f>
        <v>4433.48770215135</v>
      </c>
      <c r="N40" s="5" t="n">
        <f aca="false">N39-M39</f>
        <v>2904.31584236312</v>
      </c>
      <c r="O40" s="5" t="n">
        <f aca="false">O39-N39</f>
        <v>3135.94562412854</v>
      </c>
      <c r="P40" s="5" t="n">
        <f aca="false">P39-O39</f>
        <v>3316.21014729114</v>
      </c>
      <c r="Q40" s="5" t="n">
        <f aca="false">Q39-P39</f>
        <v>3506.95629489813</v>
      </c>
      <c r="R40" s="5" t="n">
        <f aca="false">R39-Q39</f>
        <v>3708.80178554417</v>
      </c>
      <c r="S40" s="5" t="n">
        <f aca="false">S39-R39</f>
        <v>3922.40132460289</v>
      </c>
      <c r="T40" s="5" t="n">
        <f aca="false">T39-S39</f>
        <v>4148.44886086347</v>
      </c>
      <c r="U40" s="5" t="n">
        <f aca="false">U39-T39</f>
        <v>4387.67998394978</v>
      </c>
      <c r="V40" s="5" t="n">
        <f aca="false">V39-U39</f>
        <v>4640.87447153823</v>
      </c>
      <c r="W40" s="5" t="n">
        <f aca="false">W39-V39</f>
        <v>4908.85899598894</v>
      </c>
      <c r="X40" s="5" t="n">
        <f aca="false">X39-W39</f>
        <v>5192.51000063858</v>
      </c>
      <c r="Y40" s="5" t="n">
        <f aca="false">Y39-X39</f>
        <v>5492.7567566863</v>
      </c>
    </row>
    <row r="41" customFormat="false" ht="15" hidden="false" customHeight="false" outlineLevel="0" collapsed="false">
      <c r="A41" s="4" t="s">
        <v>184</v>
      </c>
      <c r="B41" s="5" t="n">
        <f aca="false">B32-B40</f>
        <v>1511.47810326369</v>
      </c>
      <c r="C41" s="5" t="n">
        <f aca="false">C32-C40</f>
        <v>398.312203909818</v>
      </c>
      <c r="D41" s="5" t="n">
        <f aca="false">D32-D40</f>
        <v>1193.08956610471</v>
      </c>
      <c r="E41" s="5" t="n">
        <f aca="false">E32-E40</f>
        <v>2025.23466838566</v>
      </c>
      <c r="F41" s="5" t="n">
        <f aca="false">F32-F40</f>
        <v>2896.04558748767</v>
      </c>
      <c r="G41" s="5" t="n">
        <f aca="false">G32-G40</f>
        <v>3806.81747866373</v>
      </c>
      <c r="H41" s="5" t="n">
        <f aca="false">H32-H40</f>
        <v>4758.8357041856</v>
      </c>
      <c r="I41" s="5" t="n">
        <f aca="false">I32-I40</f>
        <v>5753.36800410423</v>
      </c>
      <c r="J41" s="5" t="n">
        <f aca="false">J32-J40</f>
        <v>6791.6556078052</v>
      </c>
      <c r="K41" s="5" t="n">
        <f aca="false">K32-K40</f>
        <v>7874.90317527762</v>
      </c>
      <c r="L41" s="5" t="n">
        <f aca="false">L32-L40</f>
        <v>9004.26744654129</v>
      </c>
      <c r="M41" s="5" t="n">
        <f aca="false">M32-M40</f>
        <v>10180.844466269</v>
      </c>
      <c r="N41" s="5" t="n">
        <f aca="false">N32-N40</f>
        <v>13497.1532531089</v>
      </c>
      <c r="O41" s="5" t="n">
        <f aca="false">O32-O40</f>
        <v>14528.2125807491</v>
      </c>
      <c r="P41" s="5" t="n">
        <f aca="false">P32-P40</f>
        <v>15642.2978508307</v>
      </c>
      <c r="Q41" s="5" t="n">
        <f aca="false">Q32-Q40</f>
        <v>16776.2275165076</v>
      </c>
      <c r="R41" s="5" t="n">
        <f aca="false">R32-R40</f>
        <v>17927.7257482235</v>
      </c>
      <c r="S41" s="5" t="n">
        <f aca="false">S32-S40</f>
        <v>19094.1182141481</v>
      </c>
      <c r="T41" s="5" t="n">
        <f aca="false">T32-T40</f>
        <v>20272.2880211554</v>
      </c>
      <c r="U41" s="5" t="n">
        <f aca="false">U32-U40</f>
        <v>21458.6274432803</v>
      </c>
      <c r="V41" s="5" t="n">
        <f aca="false">V32-V40</f>
        <v>22648.9850617392</v>
      </c>
      <c r="W41" s="5" t="n">
        <f aca="false">W32-W40</f>
        <v>23838.6079083252</v>
      </c>
      <c r="X41" s="5" t="n">
        <f aca="false">X32-X40</f>
        <v>25022.0781690147</v>
      </c>
      <c r="Y41" s="5" t="n">
        <f aca="false">Y32-Y40</f>
        <v>26193.2439667184</v>
      </c>
    </row>
    <row r="42" customFormat="false" ht="15" hidden="false" customHeight="false" outlineLevel="0" collapsed="false">
      <c r="A42" s="8" t="s">
        <v>185</v>
      </c>
      <c r="B42" s="18" t="n">
        <f aca="false">B41</f>
        <v>1511.47810326369</v>
      </c>
      <c r="C42" s="18" t="n">
        <f aca="false">B42+C41</f>
        <v>1909.79030717351</v>
      </c>
      <c r="D42" s="18" t="n">
        <f aca="false">C42+D41</f>
        <v>3102.87987327822</v>
      </c>
      <c r="E42" s="18" t="n">
        <f aca="false">D42+E41</f>
        <v>5128.11454166388</v>
      </c>
      <c r="F42" s="18" t="n">
        <f aca="false">E42+F41</f>
        <v>8024.16012915155</v>
      </c>
      <c r="G42" s="18" t="n">
        <f aca="false">F42+G41</f>
        <v>11830.9776078153</v>
      </c>
      <c r="H42" s="18" t="n">
        <f aca="false">G42+H41</f>
        <v>16589.8133120009</v>
      </c>
      <c r="I42" s="18" t="n">
        <f aca="false">H42+I41</f>
        <v>22343.1813161051</v>
      </c>
      <c r="J42" s="18" t="n">
        <f aca="false">I42+J41</f>
        <v>29134.8369239103</v>
      </c>
      <c r="K42" s="18" t="n">
        <f aca="false">J42+K41</f>
        <v>37009.7400991879</v>
      </c>
      <c r="L42" s="18" t="n">
        <f aca="false">K42+L41</f>
        <v>46014.0075457292</v>
      </c>
      <c r="M42" s="18" t="n">
        <f aca="false">L42+M41</f>
        <v>56194.8520119982</v>
      </c>
      <c r="N42" s="18" t="n">
        <f aca="false">M42+N41</f>
        <v>69692.0052651071</v>
      </c>
      <c r="O42" s="18" t="n">
        <f aca="false">N42+O41</f>
        <v>84220.2178458561</v>
      </c>
      <c r="P42" s="18" t="n">
        <f aca="false">O42+P41</f>
        <v>99862.5156966868</v>
      </c>
      <c r="Q42" s="18" t="n">
        <f aca="false">P42+Q41</f>
        <v>116638.743213194</v>
      </c>
      <c r="R42" s="18" t="n">
        <f aca="false">Q42+R41</f>
        <v>134566.468961418</v>
      </c>
      <c r="S42" s="18" t="n">
        <f aca="false">R42+S41</f>
        <v>153660.587175566</v>
      </c>
      <c r="T42" s="18" t="n">
        <f aca="false">S42+T41</f>
        <v>173932.875196721</v>
      </c>
      <c r="U42" s="18" t="n">
        <f aca="false">T42+U41</f>
        <v>195391.502640002</v>
      </c>
      <c r="V42" s="18" t="n">
        <f aca="false">U42+V41</f>
        <v>218040.487701741</v>
      </c>
      <c r="W42" s="18" t="n">
        <f aca="false">V42+W41</f>
        <v>241879.095610066</v>
      </c>
      <c r="X42" s="18" t="n">
        <f aca="false">W42+X41</f>
        <v>266901.173779081</v>
      </c>
      <c r="Y42" s="18" t="n">
        <f aca="false">X42+Y41</f>
        <v>293094.417745799</v>
      </c>
    </row>
    <row r="43" customFormat="false" ht="15" hidden="false" customHeight="false" outlineLevel="0" collapsed="false">
      <c r="A43" s="4" t="s">
        <v>186</v>
      </c>
      <c r="B43" s="5" t="n">
        <f aca="false">B12*(B17+B18)</f>
        <v>114.819587628866</v>
      </c>
      <c r="C43" s="5" t="n">
        <f aca="false">C12*(C17+C18)</f>
        <v>119.978213502745</v>
      </c>
      <c r="D43" s="5" t="n">
        <f aca="false">D12*(D17+D18)</f>
        <v>125.358828291115</v>
      </c>
      <c r="E43" s="5" t="n">
        <f aca="false">E12*(E17+E18)</f>
        <v>130.970279901383</v>
      </c>
      <c r="F43" s="5" t="n">
        <f aca="false">F12*(F17+F18)</f>
        <v>136.821715259366</v>
      </c>
      <c r="G43" s="5" t="n">
        <f aca="false">G12*(G17+G18)</f>
        <v>142.922585961221</v>
      </c>
      <c r="H43" s="5" t="n">
        <f aca="false">H12*(H17+H18)</f>
        <v>149.282653592318</v>
      </c>
      <c r="I43" s="5" t="n">
        <f aca="false">I12*(I17+I18)</f>
        <v>155.911994654696</v>
      </c>
      <c r="J43" s="5" t="n">
        <f aca="false">J12*(J17+J18)</f>
        <v>162.821005038896</v>
      </c>
      <c r="K43" s="5" t="n">
        <f aca="false">K12*(K17+K18)</f>
        <v>170.020403969688</v>
      </c>
      <c r="L43" s="5" t="n">
        <f aca="false">L12*(L17+L18)</f>
        <v>177.521237348295</v>
      </c>
      <c r="M43" s="5" t="n">
        <f aca="false">M12*(M17+M18)</f>
        <v>185.334880406334</v>
      </c>
      <c r="N43" s="5" t="n">
        <f aca="false">N12*(N17+N18)</f>
        <v>195.878404602658</v>
      </c>
      <c r="O43" s="5" t="n">
        <f aca="false">O12*(O17+O18)</f>
        <v>207.027597315937</v>
      </c>
      <c r="P43" s="5" t="n">
        <f aca="false">P12*(P17+P18)</f>
        <v>218.817647823917</v>
      </c>
      <c r="Q43" s="5" t="n">
        <f aca="false">Q12*(Q17+Q18)</f>
        <v>231.285817295017</v>
      </c>
      <c r="R43" s="5" t="n">
        <f aca="false">R12*(R17+R18)</f>
        <v>244.471562707756</v>
      </c>
      <c r="S43" s="5" t="n">
        <f aca="false">S12*(S17+S18)</f>
        <v>258.416668320661</v>
      </c>
      <c r="T43" s="5" t="n">
        <f aca="false">T12*(T17+T18)</f>
        <v>273.165385162965</v>
      </c>
      <c r="U43" s="5" t="n">
        <f aca="false">U12*(U17+U18)</f>
        <v>288.764579046431</v>
      </c>
      <c r="V43" s="5" t="n">
        <f aca="false">V12*(V17+V18)</f>
        <v>305.263887630709</v>
      </c>
      <c r="W43" s="5" t="n">
        <f aca="false">W12*(W17+W18)</f>
        <v>322.71588710879</v>
      </c>
      <c r="X43" s="5" t="n">
        <f aca="false">X12*(X17+X18)</f>
        <v>341.176269115538</v>
      </c>
      <c r="Y43" s="5" t="n">
        <f aca="false">Y12*(Y17+Y18)</f>
        <v>360.704028501147</v>
      </c>
    </row>
    <row r="44" customFormat="false" ht="15" hidden="false" customHeight="false" outlineLevel="0" collapsed="false">
      <c r="A44" s="4" t="s">
        <v>187</v>
      </c>
      <c r="B44" s="5" t="n">
        <f aca="false">B12*(B17*Plan_Supuestos!$I$30+B18*Plan_Supuestos!$I$31)+B14</f>
        <v>151.003608247423</v>
      </c>
      <c r="C44" s="5" t="n">
        <f aca="false">C12*(C17*Plan_Supuestos!$I$30+C18*Plan_Supuestos!$I$31)+C14</f>
        <v>157.649795467528</v>
      </c>
      <c r="D44" s="5" t="n">
        <f aca="false">D12*(D17*Plan_Supuestos!$I$30+D18*Plan_Supuestos!$I$31)+D14</f>
        <v>164.587273504262</v>
      </c>
      <c r="E44" s="5" t="n">
        <f aca="false">E12*(E17*Plan_Supuestos!$I$30+E18*Plan_Supuestos!$I$31)+E14</f>
        <v>171.828035086733</v>
      </c>
      <c r="F44" s="5" t="n">
        <f aca="false">F12*(F17*Plan_Supuestos!$I$30+F18*Plan_Supuestos!$I$31)+F14</f>
        <v>179.384508670951</v>
      </c>
      <c r="G44" s="5" t="n">
        <f aca="false">G12*(G17*Plan_Supuestos!$I$30+G18*Plan_Supuestos!$I$31)+G14</f>
        <v>187.2695695873</v>
      </c>
      <c r="H44" s="5" t="n">
        <f aca="false">H12*(H17*Plan_Supuestos!$I$30+H18*Plan_Supuestos!$I$31)+H14</f>
        <v>195.49655104051</v>
      </c>
      <c r="I44" s="5" t="n">
        <f aca="false">I12*(I17*Plan_Supuestos!$I$30+I18*Plan_Supuestos!$I$31)+I14</f>
        <v>204.079254907018</v>
      </c>
      <c r="J44" s="5" t="n">
        <f aca="false">J12*(J17*Plan_Supuestos!$I$30+J18*Plan_Supuestos!$I$31)+J14</f>
        <v>213.031962268425</v>
      </c>
      <c r="K44" s="5" t="n">
        <f aca="false">K12*(K17*Plan_Supuestos!$I$30+K18*Plan_Supuestos!$I$31)+K14</f>
        <v>222.36944361321</v>
      </c>
      <c r="L44" s="5" t="n">
        <f aca="false">L12*(L17*Plan_Supuestos!$I$30+L18*Plan_Supuestos!$I$31)+L14</f>
        <v>232.106968631592</v>
      </c>
      <c r="M44" s="5" t="n">
        <f aca="false">M12*(M17*Plan_Supuestos!$I$30+M18*Plan_Supuestos!$I$31)+M14</f>
        <v>242.260315520615</v>
      </c>
      <c r="N44" s="5" t="n">
        <f aca="false">N12*(N17*Plan_Supuestos!$I$30+N18*Plan_Supuestos!$I$31)+N14</f>
        <v>261.175391464166</v>
      </c>
      <c r="O44" s="5" t="n">
        <f aca="false">O12*(O17*Plan_Supuestos!$I$30+O18*Plan_Supuestos!$I$31)+O14</f>
        <v>276.027662926597</v>
      </c>
      <c r="P44" s="5" t="n">
        <f aca="false">P12*(P17*Plan_Supuestos!$I$30+P18*Plan_Supuestos!$I$31)+P14</f>
        <v>291.732870954412</v>
      </c>
      <c r="Q44" s="5" t="n">
        <f aca="false">Q12*(Q17*Plan_Supuestos!$I$30+Q18*Plan_Supuestos!$I$31)+Q14</f>
        <v>308.340562400201</v>
      </c>
      <c r="R44" s="5" t="n">
        <f aca="false">R12*(R17*Plan_Supuestos!$I$30+R18*Plan_Supuestos!$I$31)+R14</f>
        <v>325.903201238075</v>
      </c>
      <c r="S44" s="5" t="n">
        <f aca="false">S12*(S17*Plan_Supuestos!$I$30+S18*Plan_Supuestos!$I$31)+S14</f>
        <v>344.476343056685</v>
      </c>
      <c r="T44" s="5" t="n">
        <f aca="false">T12*(T17*Plan_Supuestos!$I$30+T18*Plan_Supuestos!$I$31)+T14</f>
        <v>364.118820187494</v>
      </c>
      <c r="U44" s="5" t="n">
        <f aca="false">U12*(U17*Plan_Supuestos!$I$30+U18*Plan_Supuestos!$I$31)+U14</f>
        <v>384.89293813108</v>
      </c>
      <c r="V44" s="5" t="n">
        <f aca="false">V12*(V17*Plan_Supuestos!$I$30+V18*Plan_Supuestos!$I$31)+V14</f>
        <v>406.864683986651</v>
      </c>
      <c r="W44" s="5" t="n">
        <f aca="false">W12*(W17*Plan_Supuestos!$I$30+W18*Plan_Supuestos!$I$31)+W14</f>
        <v>430.103947635173</v>
      </c>
      <c r="X44" s="5" t="n">
        <f aca="false">X12*(X17*Plan_Supuestos!$I$30+X18*Plan_Supuestos!$I$31)+X14</f>
        <v>454.684756474676</v>
      </c>
      <c r="Y44" s="5" t="n">
        <f aca="false">Y12*(Y17*Plan_Supuestos!$I$30+Y18*Plan_Supuestos!$I$31)+Y14</f>
        <v>480.685524557728</v>
      </c>
    </row>
    <row r="45" customFormat="false" ht="15" hidden="false" customHeight="false" outlineLevel="0" collapsed="false">
      <c r="A45" s="4" t="s">
        <v>188</v>
      </c>
      <c r="B45" s="5" t="n">
        <f aca="false">B12*(Plan_Supuestos!$B$43+(Plan_Supuestos!$B$44-Plan_Supuestos!$B$43)*B16)*Plan_Supuestos!$J$35</f>
        <v>10.2061855670103</v>
      </c>
      <c r="C45" s="5" t="n">
        <f aca="false">C12*(Plan_Supuestos!$B$43+(Plan_Supuestos!$B$44-Plan_Supuestos!$B$43)*C16)*Plan_Supuestos!$J$35</f>
        <v>12.2426748472189</v>
      </c>
      <c r="D45" s="5" t="n">
        <f aca="false">D12*(Plan_Supuestos!$B$43+(Plan_Supuestos!$B$44-Plan_Supuestos!$B$43)*D16)*Plan_Supuestos!$J$35</f>
        <v>14.4744214109329</v>
      </c>
      <c r="E45" s="5" t="n">
        <f aca="false">E12*(Plan_Supuestos!$B$43+(Plan_Supuestos!$B$44-Plan_Supuestos!$B$43)*E16)*Plan_Supuestos!$J$35</f>
        <v>16.916994487262</v>
      </c>
      <c r="F45" s="5" t="n">
        <f aca="false">F12*(Plan_Supuestos!$B$43+(Plan_Supuestos!$B$44-Plan_Supuestos!$B$43)*F16)*Plan_Supuestos!$J$35</f>
        <v>19.5871087108145</v>
      </c>
      <c r="G45" s="5" t="n">
        <f aca="false">G12*(Plan_Supuestos!$B$43+(Plan_Supuestos!$B$44-Plan_Supuestos!$B$43)*G16)*Plan_Supuestos!$J$35</f>
        <v>22.5027050236816</v>
      </c>
      <c r="H45" s="5" t="n">
        <f aca="false">H12*(Plan_Supuestos!$B$43+(Plan_Supuestos!$B$44-Plan_Supuestos!$B$43)*H16)*Plan_Supuestos!$J$35</f>
        <v>25.6830371771731</v>
      </c>
      <c r="I45" s="5" t="n">
        <f aca="false">I12*(Plan_Supuestos!$B$43+(Plan_Supuestos!$B$44-Plan_Supuestos!$B$43)*I16)*Plan_Supuestos!$J$35</f>
        <v>29.1487642180518</v>
      </c>
      <c r="J45" s="5" t="n">
        <f aca="false">J12*(Plan_Supuestos!$B$43+(Plan_Supuestos!$B$44-Plan_Supuestos!$B$43)*J16)*Plan_Supuestos!$J$35</f>
        <v>32.922049370502</v>
      </c>
      <c r="K45" s="5" t="n">
        <f aca="false">K12*(Plan_Supuestos!$B$43+(Plan_Supuestos!$B$44-Plan_Supuestos!$B$43)*K16)*Plan_Supuestos!$J$35</f>
        <v>37.0266657533986</v>
      </c>
      <c r="L45" s="5" t="n">
        <f aca="false">L12*(Plan_Supuestos!$B$43+(Plan_Supuestos!$B$44-Plan_Supuestos!$B$43)*L16)*Plan_Supuestos!$J$35</f>
        <v>41.4881094027475</v>
      </c>
      <c r="M45" s="5" t="n">
        <f aca="false">M12*(Plan_Supuestos!$B$43+(Plan_Supuestos!$B$44-Plan_Supuestos!$B$43)*M16)*Plan_Supuestos!$J$35</f>
        <v>46.3337201015834</v>
      </c>
      <c r="N45" s="5" t="n">
        <f aca="false">N12*(Plan_Supuestos!$B$43+(Plan_Supuestos!$B$44-Plan_Supuestos!$B$43)*N16)*Plan_Supuestos!$J$35</f>
        <v>48.9696011506645</v>
      </c>
      <c r="O45" s="5" t="n">
        <f aca="false">O12*(Plan_Supuestos!$B$43+(Plan_Supuestos!$B$44-Plan_Supuestos!$B$43)*O16)*Plan_Supuestos!$J$35</f>
        <v>51.7568993289843</v>
      </c>
      <c r="P45" s="5" t="n">
        <f aca="false">P12*(Plan_Supuestos!$B$43+(Plan_Supuestos!$B$44-Plan_Supuestos!$B$43)*P16)*Plan_Supuestos!$J$35</f>
        <v>54.7044119559792</v>
      </c>
      <c r="Q45" s="5" t="n">
        <f aca="false">Q12*(Plan_Supuestos!$B$43+(Plan_Supuestos!$B$44-Plan_Supuestos!$B$43)*Q16)*Plan_Supuestos!$J$35</f>
        <v>57.8214543237543</v>
      </c>
      <c r="R45" s="5" t="n">
        <f aca="false">R12*(Plan_Supuestos!$B$43+(Plan_Supuestos!$B$44-Plan_Supuestos!$B$43)*R16)*Plan_Supuestos!$J$35</f>
        <v>61.117890676939</v>
      </c>
      <c r="S45" s="5" t="n">
        <f aca="false">S12*(Plan_Supuestos!$B$43+(Plan_Supuestos!$B$44-Plan_Supuestos!$B$43)*S16)*Plan_Supuestos!$J$35</f>
        <v>64.6041670801653</v>
      </c>
      <c r="T45" s="5" t="n">
        <f aca="false">T12*(Plan_Supuestos!$B$43+(Plan_Supuestos!$B$44-Plan_Supuestos!$B$43)*T16)*Plan_Supuestos!$J$35</f>
        <v>68.2913462907413</v>
      </c>
      <c r="U45" s="5" t="n">
        <f aca="false">U12*(Plan_Supuestos!$B$43+(Plan_Supuestos!$B$44-Plan_Supuestos!$B$43)*U16)*Plan_Supuestos!$J$35</f>
        <v>72.1911447616078</v>
      </c>
      <c r="V45" s="5" t="n">
        <f aca="false">V12*(Plan_Supuestos!$B$43+(Plan_Supuestos!$B$44-Plan_Supuestos!$B$43)*V16)*Plan_Supuestos!$J$35</f>
        <v>76.3159719076773</v>
      </c>
      <c r="W45" s="5" t="n">
        <f aca="false">W12*(Plan_Supuestos!$B$43+(Plan_Supuestos!$B$44-Plan_Supuestos!$B$43)*W16)*Plan_Supuestos!$J$35</f>
        <v>80.6789717771974</v>
      </c>
      <c r="X45" s="5" t="n">
        <f aca="false">X12*(Plan_Supuestos!$B$43+(Plan_Supuestos!$B$44-Plan_Supuestos!$B$43)*X16)*Plan_Supuestos!$J$35</f>
        <v>85.2940672788845</v>
      </c>
      <c r="Y45" s="5" t="n">
        <f aca="false">Y12*(Plan_Supuestos!$B$43+(Plan_Supuestos!$B$44-Plan_Supuestos!$B$43)*Y16)*Plan_Supuestos!$J$35</f>
        <v>90.1760071252867</v>
      </c>
    </row>
    <row r="46" customFormat="false" ht="15" hidden="false" customHeight="false" outlineLevel="0" collapsed="false">
      <c r="A46" s="4" t="s">
        <v>189</v>
      </c>
      <c r="B46" s="5" t="n">
        <f aca="false">B12*B19</f>
        <v>6.37886597938145</v>
      </c>
      <c r="C46" s="5" t="n">
        <f aca="false">C12*C19</f>
        <v>7.34560490833132</v>
      </c>
      <c r="D46" s="5" t="n">
        <f aca="false">D12*D19</f>
        <v>8.40033385455925</v>
      </c>
      <c r="E46" s="5" t="n">
        <f aca="false">E12*E19</f>
        <v>9.54991624280918</v>
      </c>
      <c r="F46" s="5" t="n">
        <f aca="false">F12*F19</f>
        <v>10.8017143625815</v>
      </c>
      <c r="G46" s="5" t="n">
        <f aca="false">G12*G19</f>
        <v>12.1636243371252</v>
      </c>
      <c r="H46" s="5" t="n">
        <f aca="false">H12*H19</f>
        <v>13.6441135003732</v>
      </c>
      <c r="I46" s="5" t="n">
        <f aca="false">I12*I19</f>
        <v>15.252260346655</v>
      </c>
      <c r="J46" s="5" t="n">
        <f aca="false">J12*J19</f>
        <v>16.9977972293353</v>
      </c>
      <c r="K46" s="5" t="n">
        <f aca="false">K12*K19</f>
        <v>18.8911559966319</v>
      </c>
      <c r="L46" s="5" t="n">
        <f aca="false">L12*L19</f>
        <v>20.9435167658101</v>
      </c>
      <c r="M46" s="5" t="n">
        <f aca="false">M12*M19</f>
        <v>23.1668600507917</v>
      </c>
      <c r="N46" s="5" t="n">
        <f aca="false">N12*N19</f>
        <v>24.4848005753323</v>
      </c>
      <c r="O46" s="5" t="n">
        <f aca="false">O12*O19</f>
        <v>25.8784496644921</v>
      </c>
      <c r="P46" s="5" t="n">
        <f aca="false">P12*P19</f>
        <v>27.3522059779896</v>
      </c>
      <c r="Q46" s="5" t="n">
        <f aca="false">Q12*Q19</f>
        <v>28.9107271618772</v>
      </c>
      <c r="R46" s="5" t="n">
        <f aca="false">R12*R19</f>
        <v>30.5589453384695</v>
      </c>
      <c r="S46" s="5" t="n">
        <f aca="false">S12*S19</f>
        <v>32.3020835400827</v>
      </c>
      <c r="T46" s="5" t="n">
        <f aca="false">T12*T19</f>
        <v>34.1456731453707</v>
      </c>
      <c r="U46" s="5" t="n">
        <f aca="false">U12*U19</f>
        <v>36.0955723808039</v>
      </c>
      <c r="V46" s="5" t="n">
        <f aca="false">V12*V19</f>
        <v>38.1579859538386</v>
      </c>
      <c r="W46" s="5" t="n">
        <f aca="false">W12*W19</f>
        <v>40.3394858885987</v>
      </c>
      <c r="X46" s="5" t="n">
        <f aca="false">X12*X19</f>
        <v>42.6470336394422</v>
      </c>
      <c r="Y46" s="5" t="n">
        <f aca="false">Y12*Y19</f>
        <v>45.0880035626434</v>
      </c>
    </row>
    <row r="47" customFormat="false" ht="15" hidden="false" customHeight="false" outlineLevel="0" collapsed="false">
      <c r="A47" s="4" t="s">
        <v>190</v>
      </c>
      <c r="B47" s="5" t="n">
        <f aca="false">B12*B20</f>
        <v>5.10309278350516</v>
      </c>
      <c r="C47" s="5" t="n">
        <f aca="false">C12*C20</f>
        <v>5.63163042972068</v>
      </c>
      <c r="D47" s="5" t="n">
        <f aca="false">D12*D20</f>
        <v>6.20332346182837</v>
      </c>
      <c r="E47" s="5" t="n">
        <f aca="false">E12*E20</f>
        <v>6.8213687448637</v>
      </c>
      <c r="F47" s="5" t="n">
        <f aca="false">F12*F20</f>
        <v>7.4891886247232</v>
      </c>
      <c r="G47" s="5" t="n">
        <f aca="false">G12*G20</f>
        <v>8.21044642755951</v>
      </c>
      <c r="H47" s="5" t="n">
        <f aca="false">H12*H20</f>
        <v>8.98906301201058</v>
      </c>
      <c r="I47" s="5" t="n">
        <f aca="false">I12*I20</f>
        <v>9.82923444562212</v>
      </c>
      <c r="J47" s="5" t="n">
        <f aca="false">J12*J20</f>
        <v>10.7354508816854</v>
      </c>
      <c r="K47" s="5" t="n">
        <f aca="false">K12*K20</f>
        <v>11.7125167179118</v>
      </c>
      <c r="L47" s="5" t="n">
        <f aca="false">L12*L20</f>
        <v>12.7655721239223</v>
      </c>
      <c r="M47" s="5" t="n">
        <f aca="false">M12*M20</f>
        <v>13.900116030475</v>
      </c>
      <c r="N47" s="5" t="n">
        <f aca="false">N12*N20</f>
        <v>14.6908803451994</v>
      </c>
      <c r="O47" s="5" t="n">
        <f aca="false">O12*O20</f>
        <v>15.5270697986953</v>
      </c>
      <c r="P47" s="5" t="n">
        <f aca="false">P12*P20</f>
        <v>16.4113235867937</v>
      </c>
      <c r="Q47" s="5" t="n">
        <f aca="false">Q12*Q20</f>
        <v>17.3464362971263</v>
      </c>
      <c r="R47" s="5" t="n">
        <f aca="false">R12*R20</f>
        <v>18.3353672030817</v>
      </c>
      <c r="S47" s="5" t="n">
        <f aca="false">S12*S20</f>
        <v>19.3812501240496</v>
      </c>
      <c r="T47" s="5" t="n">
        <f aca="false">T12*T20</f>
        <v>20.4874038872224</v>
      </c>
      <c r="U47" s="5" t="n">
        <f aca="false">U12*U20</f>
        <v>21.6573434284823</v>
      </c>
      <c r="V47" s="5" t="n">
        <f aca="false">V12*V20</f>
        <v>22.8947915723032</v>
      </c>
      <c r="W47" s="5" t="n">
        <f aca="false">W12*W20</f>
        <v>24.2036915331592</v>
      </c>
      <c r="X47" s="5" t="n">
        <f aca="false">X12*X20</f>
        <v>25.5882201836653</v>
      </c>
      <c r="Y47" s="5" t="n">
        <f aca="false">Y12*Y20</f>
        <v>27.052802137586</v>
      </c>
    </row>
    <row r="48" customFormat="false" ht="15" hidden="false" customHeight="false" outlineLevel="0" collapsed="false">
      <c r="A48" s="4" t="s">
        <v>191</v>
      </c>
      <c r="B48" s="5" t="n">
        <f aca="false">B12*B21</f>
        <v>1.27577319587629</v>
      </c>
      <c r="C48" s="5" t="n">
        <f aca="false">C12*C21</f>
        <v>1.71397447861064</v>
      </c>
      <c r="D48" s="5" t="n">
        <f aca="false">D12*D21</f>
        <v>2.19701039273088</v>
      </c>
      <c r="E48" s="5" t="n">
        <f aca="false">E12*E21</f>
        <v>2.72854749794548</v>
      </c>
      <c r="F48" s="5" t="n">
        <f aca="false">F12*F21</f>
        <v>3.31252573785834</v>
      </c>
      <c r="G48" s="5" t="n">
        <f aca="false">G12*G21</f>
        <v>3.95317790956569</v>
      </c>
      <c r="H48" s="5" t="n">
        <f aca="false">H12*H21</f>
        <v>4.65505048836262</v>
      </c>
      <c r="I48" s="5" t="n">
        <f aca="false">I12*I21</f>
        <v>5.42302590103289</v>
      </c>
      <c r="J48" s="5" t="n">
        <f aca="false">J12*J21</f>
        <v>6.26234634764984</v>
      </c>
      <c r="K48" s="5" t="n">
        <f aca="false">K12*K21</f>
        <v>7.17863927872014</v>
      </c>
      <c r="L48" s="5" t="n">
        <f aca="false">L12*L21</f>
        <v>8.17794464188774</v>
      </c>
      <c r="M48" s="5" t="n">
        <f aca="false">M12*M21</f>
        <v>9.26674402031669</v>
      </c>
      <c r="N48" s="5" t="n">
        <f aca="false">N12*N21</f>
        <v>9.79392023013291</v>
      </c>
      <c r="O48" s="5" t="n">
        <f aca="false">O12*O21</f>
        <v>10.3513798657969</v>
      </c>
      <c r="P48" s="5" t="n">
        <f aca="false">P12*P21</f>
        <v>10.9408823911958</v>
      </c>
      <c r="Q48" s="5" t="n">
        <f aca="false">Q12*Q21</f>
        <v>11.5642908647509</v>
      </c>
      <c r="R48" s="5" t="n">
        <f aca="false">R12*R21</f>
        <v>12.2235781353878</v>
      </c>
      <c r="S48" s="5" t="n">
        <f aca="false">S12*S21</f>
        <v>12.9208334160331</v>
      </c>
      <c r="T48" s="5" t="n">
        <f aca="false">T12*T21</f>
        <v>13.6582692581483</v>
      </c>
      <c r="U48" s="5" t="n">
        <f aca="false">U12*U21</f>
        <v>14.4382289523216</v>
      </c>
      <c r="V48" s="5" t="n">
        <f aca="false">V12*V21</f>
        <v>15.2631943815355</v>
      </c>
      <c r="W48" s="5" t="n">
        <f aca="false">W12*W21</f>
        <v>16.1357943554395</v>
      </c>
      <c r="X48" s="5" t="n">
        <f aca="false">X12*X21</f>
        <v>17.0588134557769</v>
      </c>
      <c r="Y48" s="5" t="n">
        <f aca="false">Y12*Y21</f>
        <v>18.0352014250574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4" t="s">
        <v>125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3" t="n">
        <v>24</v>
      </c>
    </row>
    <row r="5" customFormat="false" ht="15" hidden="false" customHeight="false" outlineLevel="0" collapsed="false">
      <c r="A5" s="4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134</v>
      </c>
      <c r="J5" s="3" t="s">
        <v>135</v>
      </c>
      <c r="K5" s="3" t="s">
        <v>136</v>
      </c>
      <c r="L5" s="3" t="s">
        <v>137</v>
      </c>
      <c r="M5" s="3" t="s">
        <v>138</v>
      </c>
      <c r="N5" s="3" t="s">
        <v>139</v>
      </c>
      <c r="O5" s="3" t="s">
        <v>140</v>
      </c>
      <c r="P5" s="3" t="s">
        <v>141</v>
      </c>
      <c r="Q5" s="3" t="s">
        <v>142</v>
      </c>
      <c r="R5" s="3" t="s">
        <v>143</v>
      </c>
      <c r="S5" s="3" t="s">
        <v>144</v>
      </c>
      <c r="T5" s="3" t="s">
        <v>145</v>
      </c>
      <c r="U5" s="3" t="s">
        <v>146</v>
      </c>
      <c r="V5" s="3" t="s">
        <v>147</v>
      </c>
      <c r="W5" s="3" t="s">
        <v>148</v>
      </c>
      <c r="X5" s="3" t="s">
        <v>149</v>
      </c>
      <c r="Y5" s="3" t="s">
        <v>150</v>
      </c>
    </row>
    <row r="7" customFormat="false" ht="15" hidden="false" customHeight="false" outlineLevel="0" collapsed="false">
      <c r="A7" s="4" t="s">
        <v>110</v>
      </c>
      <c r="B7" s="5" t="n">
        <f aca="false">MIN(Plan_Supuestos!$C$20,Plan_Supuestos!$B$6*(1+Plan_Supuestos!$C$19)^(B$4-1))</f>
        <v>9000</v>
      </c>
      <c r="C7" s="5" t="n">
        <f aca="false">MIN(Plan_Supuestos!$C$20,Plan_Supuestos!$B$6*(1+Plan_Supuestos!$C$19)^(C$4-1))</f>
        <v>10080</v>
      </c>
      <c r="D7" s="5" t="n">
        <f aca="false">MIN(Plan_Supuestos!$C$20,Plan_Supuestos!$B$6*(1+Plan_Supuestos!$C$19)^(D$4-1))</f>
        <v>11289.6</v>
      </c>
      <c r="E7" s="5" t="n">
        <f aca="false">MIN(Plan_Supuestos!$C$20,Plan_Supuestos!$B$6*(1+Plan_Supuestos!$C$19)^(E$4-1))</f>
        <v>12644.352</v>
      </c>
      <c r="F7" s="5" t="n">
        <f aca="false">MIN(Plan_Supuestos!$C$20,Plan_Supuestos!$B$6*(1+Plan_Supuestos!$C$19)^(F$4-1))</f>
        <v>14161.67424</v>
      </c>
      <c r="G7" s="5" t="n">
        <f aca="false">MIN(Plan_Supuestos!$C$20,Plan_Supuestos!$B$6*(1+Plan_Supuestos!$C$19)^(G$4-1))</f>
        <v>15861.0751488</v>
      </c>
      <c r="H7" s="5" t="n">
        <f aca="false">MIN(Plan_Supuestos!$C$20,Plan_Supuestos!$B$6*(1+Plan_Supuestos!$C$19)^(H$4-1))</f>
        <v>17764.404166656</v>
      </c>
      <c r="I7" s="5" t="n">
        <f aca="false">MIN(Plan_Supuestos!$C$20,Plan_Supuestos!$B$6*(1+Plan_Supuestos!$C$19)^(I$4-1))</f>
        <v>19896.1326666547</v>
      </c>
      <c r="J7" s="5" t="n">
        <f aca="false">MIN(Plan_Supuestos!$C$20,Plan_Supuestos!$B$6*(1+Plan_Supuestos!$C$19)^(J$4-1))</f>
        <v>22283.6685866533</v>
      </c>
      <c r="K7" s="5" t="n">
        <f aca="false">MIN(Plan_Supuestos!$C$20,Plan_Supuestos!$B$6*(1+Plan_Supuestos!$C$19)^(K$4-1))</f>
        <v>24957.7088170517</v>
      </c>
      <c r="L7" s="5" t="n">
        <f aca="false">MIN(Plan_Supuestos!$C$20,Plan_Supuestos!$B$6*(1+Plan_Supuestos!$C$19)^(L$4-1))</f>
        <v>27952.6338750979</v>
      </c>
      <c r="M7" s="5" t="n">
        <f aca="false">MIN(Plan_Supuestos!$C$20,Plan_Supuestos!$B$6*(1+Plan_Supuestos!$C$19)^(M$4-1))</f>
        <v>31306.9499401097</v>
      </c>
      <c r="N7" s="5" t="n">
        <f aca="false">MIN(Plan_Supuestos!$C$20,Plan_Supuestos!$B$6*(1+Plan_Supuestos!$C$19)^(N$4-1))</f>
        <v>35063.7839329228</v>
      </c>
      <c r="O7" s="5" t="n">
        <f aca="false">MIN(Plan_Supuestos!$C$20,Plan_Supuestos!$B$6*(1+Plan_Supuestos!$C$19)^(O$4-1))</f>
        <v>39271.4380048736</v>
      </c>
      <c r="P7" s="5" t="n">
        <f aca="false">MIN(Plan_Supuestos!$C$20,Plan_Supuestos!$B$6*(1+Plan_Supuestos!$C$19)^(P$4-1))</f>
        <v>43984.0105654584</v>
      </c>
      <c r="Q7" s="5" t="n">
        <f aca="false">MIN(Plan_Supuestos!$C$20,Plan_Supuestos!$B$6*(1+Plan_Supuestos!$C$19)^(Q$4-1))</f>
        <v>49262.0918333134</v>
      </c>
      <c r="R7" s="5" t="n">
        <f aca="false">MIN(Plan_Supuestos!$C$20,Plan_Supuestos!$B$6*(1+Plan_Supuestos!$C$19)^(R$4-1))</f>
        <v>55173.542853311</v>
      </c>
      <c r="S7" s="5" t="n">
        <f aca="false">MIN(Plan_Supuestos!$C$20,Plan_Supuestos!$B$6*(1+Plan_Supuestos!$C$19)^(S$4-1))</f>
        <v>61794.3679957084</v>
      </c>
      <c r="T7" s="5" t="n">
        <f aca="false">MIN(Plan_Supuestos!$C$20,Plan_Supuestos!$B$6*(1+Plan_Supuestos!$C$19)^(T$4-1))</f>
        <v>69209.6921551934</v>
      </c>
      <c r="U7" s="5" t="n">
        <f aca="false">MIN(Plan_Supuestos!$C$20,Plan_Supuestos!$B$6*(1+Plan_Supuestos!$C$19)^(U$4-1))</f>
        <v>77514.8552138166</v>
      </c>
      <c r="V7" s="5" t="n">
        <f aca="false">MIN(Plan_Supuestos!$C$20,Plan_Supuestos!$B$6*(1+Plan_Supuestos!$C$19)^(V$4-1))</f>
        <v>86816.6378394746</v>
      </c>
      <c r="W7" s="5" t="n">
        <f aca="false">MIN(Plan_Supuestos!$C$20,Plan_Supuestos!$B$6*(1+Plan_Supuestos!$C$19)^(W$4-1))</f>
        <v>97234.6343802115</v>
      </c>
      <c r="X7" s="5" t="n">
        <f aca="false">MIN(Plan_Supuestos!$C$20,Plan_Supuestos!$B$6*(1+Plan_Supuestos!$C$19)^(X$4-1))</f>
        <v>108902.790505837</v>
      </c>
      <c r="Y7" s="5" t="n">
        <f aca="false">MIN(Plan_Supuestos!$C$20,Plan_Supuestos!$B$6*(1+Plan_Supuestos!$C$19)^(Y$4-1))</f>
        <v>121971.125366537</v>
      </c>
    </row>
    <row r="8" customFormat="false" ht="15" hidden="false" customHeight="false" outlineLevel="0" collapsed="false">
      <c r="A8" s="4" t="s">
        <v>151</v>
      </c>
      <c r="B8" s="28" t="n">
        <f aca="false">MIN(Plan_Supuestos!$C$22,Plan_Supuestos!$C$21*(B$4-1))</f>
        <v>0</v>
      </c>
      <c r="C8" s="28" t="n">
        <f aca="false">MIN(Plan_Supuestos!$C$22,Plan_Supuestos!$C$21*(C$4-1))</f>
        <v>0.01</v>
      </c>
      <c r="D8" s="28" t="n">
        <f aca="false">MIN(Plan_Supuestos!$C$22,Plan_Supuestos!$C$21*(D$4-1))</f>
        <v>0.02</v>
      </c>
      <c r="E8" s="28" t="n">
        <f aca="false">MIN(Plan_Supuestos!$C$22,Plan_Supuestos!$C$21*(E$4-1))</f>
        <v>0.03</v>
      </c>
      <c r="F8" s="28" t="n">
        <f aca="false">MIN(Plan_Supuestos!$C$22,Plan_Supuestos!$C$21*(F$4-1))</f>
        <v>0.04</v>
      </c>
      <c r="G8" s="28" t="n">
        <f aca="false">MIN(Plan_Supuestos!$C$22,Plan_Supuestos!$C$21*(G$4-1))</f>
        <v>0.05</v>
      </c>
      <c r="H8" s="28" t="n">
        <f aca="false">MIN(Plan_Supuestos!$C$22,Plan_Supuestos!$C$21*(H$4-1))</f>
        <v>0.06</v>
      </c>
      <c r="I8" s="28" t="n">
        <f aca="false">MIN(Plan_Supuestos!$C$22,Plan_Supuestos!$C$21*(I$4-1))</f>
        <v>0.07</v>
      </c>
      <c r="J8" s="28" t="n">
        <f aca="false">MIN(Plan_Supuestos!$C$22,Plan_Supuestos!$C$21*(J$4-1))</f>
        <v>0.08</v>
      </c>
      <c r="K8" s="28" t="n">
        <f aca="false">MIN(Plan_Supuestos!$C$22,Plan_Supuestos!$C$21*(K$4-1))</f>
        <v>0.09</v>
      </c>
      <c r="L8" s="28" t="n">
        <f aca="false">MIN(Plan_Supuestos!$C$22,Plan_Supuestos!$C$21*(L$4-1))</f>
        <v>0.1</v>
      </c>
      <c r="M8" s="28" t="n">
        <f aca="false">MIN(Plan_Supuestos!$C$22,Plan_Supuestos!$C$21*(M$4-1))</f>
        <v>0.11</v>
      </c>
      <c r="N8" s="28" t="n">
        <f aca="false">MIN(Plan_Supuestos!$C$22,Plan_Supuestos!$C$21*(N$4-1))</f>
        <v>0.12</v>
      </c>
      <c r="O8" s="28" t="n">
        <f aca="false">MIN(Plan_Supuestos!$C$22,Plan_Supuestos!$C$21*(O$4-1))</f>
        <v>0.13</v>
      </c>
      <c r="P8" s="28" t="n">
        <f aca="false">MIN(Plan_Supuestos!$C$22,Plan_Supuestos!$C$21*(P$4-1))</f>
        <v>0.14</v>
      </c>
      <c r="Q8" s="28" t="n">
        <f aca="false">MIN(Plan_Supuestos!$C$22,Plan_Supuestos!$C$21*(Q$4-1))</f>
        <v>0.15</v>
      </c>
      <c r="R8" s="28" t="n">
        <f aca="false">MIN(Plan_Supuestos!$C$22,Plan_Supuestos!$C$21*(R$4-1))</f>
        <v>0.16</v>
      </c>
      <c r="S8" s="28" t="n">
        <f aca="false">MIN(Plan_Supuestos!$C$22,Plan_Supuestos!$C$21*(S$4-1))</f>
        <v>0.17</v>
      </c>
      <c r="T8" s="28" t="n">
        <f aca="false">MIN(Plan_Supuestos!$C$22,Plan_Supuestos!$C$21*(T$4-1))</f>
        <v>0.18</v>
      </c>
      <c r="U8" s="28" t="n">
        <f aca="false">MIN(Plan_Supuestos!$C$22,Plan_Supuestos!$C$21*(U$4-1))</f>
        <v>0.19</v>
      </c>
      <c r="V8" s="28" t="n">
        <f aca="false">MIN(Plan_Supuestos!$C$22,Plan_Supuestos!$C$21*(V$4-1))</f>
        <v>0.2</v>
      </c>
      <c r="W8" s="28" t="n">
        <f aca="false">MIN(Plan_Supuestos!$C$22,Plan_Supuestos!$C$21*(W$4-1))</f>
        <v>0.2</v>
      </c>
      <c r="X8" s="28" t="n">
        <f aca="false">MIN(Plan_Supuestos!$C$22,Plan_Supuestos!$C$21*(X$4-1))</f>
        <v>0.2</v>
      </c>
      <c r="Y8" s="28" t="n">
        <f aca="false">MIN(Plan_Supuestos!$C$22,Plan_Supuestos!$C$21*(Y$4-1))</f>
        <v>0.2</v>
      </c>
    </row>
    <row r="9" customFormat="false" ht="15" hidden="false" customHeight="false" outlineLevel="0" collapsed="false">
      <c r="A9" s="4" t="s">
        <v>152</v>
      </c>
      <c r="B9" s="6" t="n">
        <f aca="false">Plan_Supuestos!$C$17*(B7/Plan_Supuestos!$B$6)^Plan_Supuestos!$C$18*(1-B8)*SUMPRODUCT(B17:B22,Plan_Supuestos!$K$30:$K$35)</f>
        <v>63.05</v>
      </c>
      <c r="C9" s="6" t="n">
        <f aca="false">Plan_Supuestos!$C$17*(C7/Plan_Supuestos!$B$6)^Plan_Supuestos!$C$18*(1-C8)*SUMPRODUCT(C17:C22,Plan_Supuestos!$K$30:$K$35)</f>
        <v>64.4539952275449</v>
      </c>
      <c r="D9" s="6" t="n">
        <f aca="false">Plan_Supuestos!$C$17*(D7/Plan_Supuestos!$B$6)^Plan_Supuestos!$C$18*(1-D8)*SUMPRODUCT(D17:D22,Plan_Supuestos!$K$30:$K$35)</f>
        <v>65.8816128739729</v>
      </c>
      <c r="E9" s="6" t="n">
        <f aca="false">Plan_Supuestos!$C$17*(E7/Plan_Supuestos!$B$6)^Plan_Supuestos!$C$18*(1-E8)*SUMPRODUCT(E17:E22,Plan_Supuestos!$K$30:$K$35)</f>
        <v>67.332907392751</v>
      </c>
      <c r="F9" s="6" t="n">
        <f aca="false">Plan_Supuestos!$C$17*(F7/Plan_Supuestos!$B$6)^Plan_Supuestos!$C$18*(1-F8)*SUMPRODUCT(F17:F22,Plan_Supuestos!$K$30:$K$35)</f>
        <v>68.8079127272727</v>
      </c>
      <c r="G9" s="6" t="n">
        <f aca="false">Plan_Supuestos!$C$17*(G7/Plan_Supuestos!$B$6)^Plan_Supuestos!$C$18*(1-G8)*SUMPRODUCT(G17:G22,Plan_Supuestos!$K$30:$K$35)</f>
        <v>70.3066409683493</v>
      </c>
      <c r="H9" s="6" t="n">
        <f aca="false">Plan_Supuestos!$C$17*(H7/Plan_Supuestos!$B$6)^Plan_Supuestos!$C$18*(1-H8)*SUMPRODUCT(H17:H22,Plan_Supuestos!$K$30:$K$35)</f>
        <v>71.8290809480656</v>
      </c>
      <c r="I9" s="6" t="n">
        <f aca="false">Plan_Supuestos!$C$17*(I7/Plan_Supuestos!$B$6)^Plan_Supuestos!$C$18*(1-I8)*SUMPRODUCT(I17:I22,Plan_Supuestos!$K$30:$K$35)</f>
        <v>73.3751967673552</v>
      </c>
      <c r="J9" s="6" t="n">
        <f aca="false">Plan_Supuestos!$C$17*(J7/Plan_Supuestos!$B$6)^Plan_Supuestos!$C$18*(1-J8)*SUMPRODUCT(J17:J22,Plan_Supuestos!$K$30:$K$35)</f>
        <v>74.9449262545455</v>
      </c>
      <c r="K9" s="6" t="n">
        <f aca="false">Plan_Supuestos!$C$17*(K7/Plan_Supuestos!$B$6)^Plan_Supuestos!$C$18*(1-K8)*SUMPRODUCT(K17:K22,Plan_Supuestos!$K$30:$K$35)</f>
        <v>76.5381793520173</v>
      </c>
      <c r="L9" s="6" t="n">
        <f aca="false">Plan_Supuestos!$C$17*(L7/Plan_Supuestos!$B$6)^Plan_Supuestos!$C$18*(1-L8)*SUMPRODUCT(L17:L22,Plan_Supuestos!$K$30:$K$35)</f>
        <v>78.1548364280132</v>
      </c>
      <c r="M9" s="6" t="n">
        <f aca="false">Plan_Supuestos!$C$17*(M7/Plan_Supuestos!$B$6)^Plan_Supuestos!$C$18*(1-M8)*SUMPRODUCT(M17:M22,Plan_Supuestos!$K$30:$K$35)</f>
        <v>79.7947465105163</v>
      </c>
      <c r="N9" s="6" t="n">
        <f aca="false">Plan_Supuestos!$C$17*(N7/Plan_Supuestos!$B$6)^Plan_Supuestos!$C$18*(1-N8)*SUMPRODUCT(N17:N22,Plan_Supuestos!$K$30:$K$35)</f>
        <v>81.165500416</v>
      </c>
      <c r="O9" s="6" t="n">
        <f aca="false">Plan_Supuestos!$C$17*(O7/Plan_Supuestos!$B$6)^Plan_Supuestos!$C$18*(1-O8)*SUMPRODUCT(O17:O22,Plan_Supuestos!$K$30:$K$35)</f>
        <v>82.5491406834835</v>
      </c>
      <c r="P9" s="6" t="n">
        <f aca="false">Plan_Supuestos!$C$17*(P7/Plan_Supuestos!$B$6)^Plan_Supuestos!$C$18*(1-P8)*SUMPRODUCT(P17:P22,Plan_Supuestos!$K$30:$K$35)</f>
        <v>83.9452759360942</v>
      </c>
      <c r="Q9" s="6" t="n">
        <f aca="false">Plan_Supuestos!$C$17*(Q7/Plan_Supuestos!$B$6)^Plan_Supuestos!$C$18*(1-Q8)*SUMPRODUCT(Q17:Q22,Plan_Supuestos!$K$30:$K$35)</f>
        <v>85.3534816606871</v>
      </c>
      <c r="R9" s="6" t="n">
        <f aca="false">Plan_Supuestos!$C$17*(R7/Plan_Supuestos!$B$6)^Plan_Supuestos!$C$18*(1-R8)*SUMPRODUCT(R17:R22,Plan_Supuestos!$K$30:$K$35)</f>
        <v>86.77329862656</v>
      </c>
      <c r="S9" s="6" t="n">
        <f aca="false">Plan_Supuestos!$C$17*(S7/Plan_Supuestos!$B$6)^Plan_Supuestos!$C$18*(1-S8)*SUMPRODUCT(S17:S22,Plan_Supuestos!$K$30:$K$35)</f>
        <v>88.2042312406508</v>
      </c>
      <c r="T9" s="6" t="n">
        <f aca="false">Plan_Supuestos!$C$17*(T7/Plan_Supuestos!$B$6)^Plan_Supuestos!$C$18*(1-T8)*SUMPRODUCT(T17:T22,Plan_Supuestos!$K$30:$K$35)</f>
        <v>89.6457458368708</v>
      </c>
      <c r="U9" s="6" t="n">
        <f aca="false">Plan_Supuestos!$C$17*(U7/Plan_Supuestos!$B$6)^Plan_Supuestos!$C$18*(1-U8)*SUMPRODUCT(U17:U22,Plan_Supuestos!$K$30:$K$35)</f>
        <v>91.0972688971475</v>
      </c>
      <c r="V9" s="6" t="n">
        <f aca="false">Plan_Supuestos!$C$17*(V7/Plan_Supuestos!$B$6)^Plan_Supuestos!$C$18*(1-V8)*SUMPRODUCT(V17:V22,Plan_Supuestos!$K$30:$K$35)</f>
        <v>92.5581852016641</v>
      </c>
      <c r="W9" s="6" t="n">
        <f aca="false">Plan_Supuestos!$C$17*(W7/Plan_Supuestos!$B$6)^Plan_Supuestos!$C$18*(1-W8)*SUMPRODUCT(W17:W22,Plan_Supuestos!$K$30:$K$35)</f>
        <v>95.2180616766544</v>
      </c>
      <c r="X9" s="6" t="n">
        <f aca="false">Plan_Supuestos!$C$17*(X7/Plan_Supuestos!$B$6)^Plan_Supuestos!$C$18*(1-X8)*SUMPRODUCT(X17:X22,Plan_Supuestos!$K$30:$K$35)</f>
        <v>97.9543759388247</v>
      </c>
      <c r="Y9" s="6" t="n">
        <f aca="false">Plan_Supuestos!$C$17*(Y7/Plan_Supuestos!$B$6)^Plan_Supuestos!$C$18*(1-Y8)*SUMPRODUCT(Y17:Y22,Plan_Supuestos!$K$30:$K$35)</f>
        <v>100.769324607215</v>
      </c>
    </row>
    <row r="10" customFormat="false" ht="15" hidden="false" customHeight="false" outlineLevel="0" collapsed="false">
      <c r="A10" s="4" t="s">
        <v>153</v>
      </c>
      <c r="B10" s="5" t="n">
        <f aca="false">B7/B9</f>
        <v>142.74385408406</v>
      </c>
      <c r="C10" s="5" t="n">
        <f aca="false">C7/C9</f>
        <v>156.390615731641</v>
      </c>
      <c r="D10" s="5" t="n">
        <f aca="false">D7/D9</f>
        <v>171.36192493642</v>
      </c>
      <c r="E10" s="5" t="n">
        <f aca="false">E7/E9</f>
        <v>187.788593863114</v>
      </c>
      <c r="F10" s="5" t="n">
        <f aca="false">F7/F9</f>
        <v>205.814617515449</v>
      </c>
      <c r="G10" s="5" t="n">
        <f aca="false">G7/G9</f>
        <v>225.598534225812</v>
      </c>
      <c r="H10" s="5" t="n">
        <f aca="false">H7/H9</f>
        <v>247.314930557168</v>
      </c>
      <c r="I10" s="5" t="n">
        <f aca="false">I7/I9</f>
        <v>271.156106466574</v>
      </c>
      <c r="J10" s="5" t="n">
        <f aca="false">J7/J9</f>
        <v>297.333918389196</v>
      </c>
      <c r="K10" s="5" t="n">
        <f aca="false">K7/K9</f>
        <v>326.081819927611</v>
      </c>
      <c r="L10" s="5" t="n">
        <f aca="false">L7/L9</f>
        <v>357.657122100748</v>
      </c>
      <c r="M10" s="5" t="n">
        <f aca="false">M7/M9</f>
        <v>392.343497650985</v>
      </c>
      <c r="N10" s="5" t="n">
        <f aca="false">N7/N9</f>
        <v>432.003545265037</v>
      </c>
      <c r="O10" s="5" t="n">
        <f aca="false">O7/O9</f>
        <v>475.734061914118</v>
      </c>
      <c r="P10" s="5" t="n">
        <f aca="false">P7/P9</f>
        <v>523.960521601508</v>
      </c>
      <c r="Q10" s="5" t="n">
        <f aca="false">Q7/Q9</f>
        <v>577.153865019229</v>
      </c>
      <c r="R10" s="5" t="n">
        <f aca="false">R7/R9</f>
        <v>635.835490025076</v>
      </c>
      <c r="S10" s="5" t="n">
        <f aca="false">S7/S9</f>
        <v>700.582807950704</v>
      </c>
      <c r="T10" s="5" t="n">
        <f aca="false">T7/T9</f>
        <v>772.035432458054</v>
      </c>
      <c r="U10" s="5" t="n">
        <f aca="false">U7/U9</f>
        <v>850.902075904537</v>
      </c>
      <c r="V10" s="5" t="n">
        <f aca="false">V7/V9</f>
        <v>937.968237496447</v>
      </c>
      <c r="W10" s="5" t="n">
        <f aca="false">W7/W9</f>
        <v>1021.17846832889</v>
      </c>
      <c r="X10" s="5" t="n">
        <f aca="false">X7/X9</f>
        <v>1111.77055095374</v>
      </c>
      <c r="Y10" s="5" t="n">
        <f aca="false">Y7/Y9</f>
        <v>1210.39935359261</v>
      </c>
    </row>
    <row r="11" customFormat="false" ht="15" hidden="false" customHeight="false" outlineLevel="0" collapsed="false">
      <c r="A11" s="4" t="s">
        <v>154</v>
      </c>
      <c r="B11" s="5" t="n">
        <f aca="false">B10*Plan_Supuestos!$C$23</f>
        <v>21.411578112609</v>
      </c>
      <c r="C11" s="5" t="n">
        <f aca="false">C10*Plan_Supuestos!$C$23</f>
        <v>23.4585923597462</v>
      </c>
      <c r="D11" s="5" t="n">
        <f aca="false">D10*Plan_Supuestos!$C$23</f>
        <v>25.7042887404629</v>
      </c>
      <c r="E11" s="5" t="n">
        <f aca="false">E10*Plan_Supuestos!$C$23</f>
        <v>28.1682890794672</v>
      </c>
      <c r="F11" s="5" t="n">
        <f aca="false">F10*Plan_Supuestos!$C$23</f>
        <v>30.8721926273173</v>
      </c>
      <c r="G11" s="5" t="n">
        <f aca="false">G10*Plan_Supuestos!$C$23</f>
        <v>33.8397801338717</v>
      </c>
      <c r="H11" s="5" t="n">
        <f aca="false">H10*Plan_Supuestos!$C$23</f>
        <v>37.0972395835751</v>
      </c>
      <c r="I11" s="5" t="n">
        <f aca="false">I10*Plan_Supuestos!$C$23</f>
        <v>40.673415969986</v>
      </c>
      <c r="J11" s="5" t="n">
        <f aca="false">J10*Plan_Supuestos!$C$23</f>
        <v>44.6000877583793</v>
      </c>
      <c r="K11" s="5" t="n">
        <f aca="false">K10*Plan_Supuestos!$C$23</f>
        <v>48.9122729891417</v>
      </c>
      <c r="L11" s="5" t="n">
        <f aca="false">L10*Plan_Supuestos!$C$23</f>
        <v>53.6485683151122</v>
      </c>
      <c r="M11" s="5" t="n">
        <f aca="false">M10*Plan_Supuestos!$C$23</f>
        <v>58.8515246476477</v>
      </c>
      <c r="N11" s="5" t="n">
        <f aca="false">N10*Plan_Supuestos!$C$23</f>
        <v>64.8005317897555</v>
      </c>
      <c r="O11" s="5" t="n">
        <f aca="false">O10*Plan_Supuestos!$C$23</f>
        <v>71.3601092871177</v>
      </c>
      <c r="P11" s="5" t="n">
        <f aca="false">P10*Plan_Supuestos!$C$23</f>
        <v>78.5940782402261</v>
      </c>
      <c r="Q11" s="5" t="n">
        <f aca="false">Q10*Plan_Supuestos!$C$23</f>
        <v>86.5730797528843</v>
      </c>
      <c r="R11" s="5" t="n">
        <f aca="false">R10*Plan_Supuestos!$C$23</f>
        <v>95.3753235037613</v>
      </c>
      <c r="S11" s="5" t="n">
        <f aca="false">S10*Plan_Supuestos!$C$23</f>
        <v>105.087421192606</v>
      </c>
      <c r="T11" s="5" t="n">
        <f aca="false">T10*Plan_Supuestos!$C$23</f>
        <v>115.805314868708</v>
      </c>
      <c r="U11" s="5" t="n">
        <f aca="false">U10*Plan_Supuestos!$C$23</f>
        <v>127.63531138568</v>
      </c>
      <c r="V11" s="5" t="n">
        <f aca="false">V10*Plan_Supuestos!$C$23</f>
        <v>140.695235624467</v>
      </c>
      <c r="W11" s="5" t="n">
        <f aca="false">W10*Plan_Supuestos!$C$23</f>
        <v>153.176770249333</v>
      </c>
      <c r="X11" s="5" t="n">
        <f aca="false">X10*Plan_Supuestos!$C$23</f>
        <v>166.765582643061</v>
      </c>
      <c r="Y11" s="5" t="n">
        <f aca="false">Y10*Plan_Supuestos!$C$23</f>
        <v>181.559903038892</v>
      </c>
    </row>
    <row r="12" customFormat="false" ht="15" hidden="false" customHeight="false" outlineLevel="0" collapsed="false">
      <c r="A12" s="8" t="s">
        <v>155</v>
      </c>
      <c r="B12" s="18" t="n">
        <f aca="false">B10+B11</f>
        <v>164.155432196669</v>
      </c>
      <c r="C12" s="18" t="n">
        <f aca="false">C10+C11</f>
        <v>179.849208091387</v>
      </c>
      <c r="D12" s="18" t="n">
        <f aca="false">D10+D11</f>
        <v>197.066213676883</v>
      </c>
      <c r="E12" s="18" t="n">
        <f aca="false">E10+E11</f>
        <v>215.956882942582</v>
      </c>
      <c r="F12" s="18" t="n">
        <f aca="false">F10+F11</f>
        <v>236.686810142766</v>
      </c>
      <c r="G12" s="18" t="n">
        <f aca="false">G10+G11</f>
        <v>259.438314359683</v>
      </c>
      <c r="H12" s="18" t="n">
        <f aca="false">H10+H11</f>
        <v>284.412170140743</v>
      </c>
      <c r="I12" s="18" t="n">
        <f aca="false">I10+I11</f>
        <v>311.82952243656</v>
      </c>
      <c r="J12" s="18" t="n">
        <f aca="false">J10+J11</f>
        <v>341.934006147575</v>
      </c>
      <c r="K12" s="18" t="n">
        <f aca="false">K10+K11</f>
        <v>374.994092916753</v>
      </c>
      <c r="L12" s="18" t="n">
        <f aca="false">L10+L11</f>
        <v>411.30569041586</v>
      </c>
      <c r="M12" s="18" t="n">
        <f aca="false">M10+M11</f>
        <v>451.195022298632</v>
      </c>
      <c r="N12" s="18" t="n">
        <f aca="false">N10+N11</f>
        <v>496.804077054792</v>
      </c>
      <c r="O12" s="18" t="n">
        <f aca="false">O10+O11</f>
        <v>547.094171201236</v>
      </c>
      <c r="P12" s="18" t="n">
        <f aca="false">P10+P11</f>
        <v>602.554599841734</v>
      </c>
      <c r="Q12" s="18" t="n">
        <f aca="false">Q10+Q11</f>
        <v>663.726944772113</v>
      </c>
      <c r="R12" s="18" t="n">
        <f aca="false">R10+R11</f>
        <v>731.210813528837</v>
      </c>
      <c r="S12" s="18" t="n">
        <f aca="false">S10+S11</f>
        <v>805.670229143309</v>
      </c>
      <c r="T12" s="18" t="n">
        <f aca="false">T10+T11</f>
        <v>887.840747326762</v>
      </c>
      <c r="U12" s="18" t="n">
        <f aca="false">U10+U11</f>
        <v>978.537387290217</v>
      </c>
      <c r="V12" s="18" t="n">
        <f aca="false">V10+V11</f>
        <v>1078.66347312091</v>
      </c>
      <c r="W12" s="18" t="n">
        <f aca="false">W10+W11</f>
        <v>1174.35523857822</v>
      </c>
      <c r="X12" s="18" t="n">
        <f aca="false">X10+X11</f>
        <v>1278.5361335968</v>
      </c>
      <c r="Y12" s="18" t="n">
        <f aca="false">Y10+Y11</f>
        <v>1391.95925663151</v>
      </c>
    </row>
    <row r="13" customFormat="false" ht="15" hidden="false" customHeight="false" outlineLevel="0" collapsed="false">
      <c r="A13" s="4" t="s">
        <v>156</v>
      </c>
      <c r="B13" s="7" t="n">
        <f aca="false">B12/30</f>
        <v>5.47184773988898</v>
      </c>
      <c r="C13" s="7" t="n">
        <f aca="false">C12/30</f>
        <v>5.99497360304625</v>
      </c>
      <c r="D13" s="7" t="n">
        <f aca="false">D12/30</f>
        <v>6.56887378922942</v>
      </c>
      <c r="E13" s="7" t="n">
        <f aca="false">E12/30</f>
        <v>7.19856276475272</v>
      </c>
      <c r="F13" s="7" t="n">
        <f aca="false">F12/30</f>
        <v>7.8895603380922</v>
      </c>
      <c r="G13" s="7" t="n">
        <f aca="false">G12/30</f>
        <v>8.64794381198945</v>
      </c>
      <c r="H13" s="7" t="n">
        <f aca="false">H12/30</f>
        <v>9.48040567135809</v>
      </c>
      <c r="I13" s="7" t="n">
        <f aca="false">I12/30</f>
        <v>10.394317414552</v>
      </c>
      <c r="J13" s="7" t="n">
        <f aca="false">J12/30</f>
        <v>11.3978002049192</v>
      </c>
      <c r="K13" s="7" t="n">
        <f aca="false">K12/30</f>
        <v>12.4998030972251</v>
      </c>
      <c r="L13" s="7" t="n">
        <f aca="false">L12/30</f>
        <v>13.7101896805287</v>
      </c>
      <c r="M13" s="7" t="n">
        <f aca="false">M12/30</f>
        <v>15.0398340766211</v>
      </c>
      <c r="N13" s="7" t="n">
        <f aca="false">N12/30</f>
        <v>16.5601359018264</v>
      </c>
      <c r="O13" s="7" t="n">
        <f aca="false">O12/30</f>
        <v>18.2364723733745</v>
      </c>
      <c r="P13" s="7" t="n">
        <f aca="false">P12/30</f>
        <v>20.0851533280578</v>
      </c>
      <c r="Q13" s="7" t="n">
        <f aca="false">Q12/30</f>
        <v>22.1242314924038</v>
      </c>
      <c r="R13" s="7" t="n">
        <f aca="false">R12/30</f>
        <v>24.3736937842946</v>
      </c>
      <c r="S13" s="7" t="n">
        <f aca="false">S12/30</f>
        <v>26.855674304777</v>
      </c>
      <c r="T13" s="7" t="n">
        <f aca="false">T12/30</f>
        <v>29.5946915775587</v>
      </c>
      <c r="U13" s="7" t="n">
        <f aca="false">U12/30</f>
        <v>32.6179129096739</v>
      </c>
      <c r="V13" s="7" t="n">
        <f aca="false">V12/30</f>
        <v>35.9554491040305</v>
      </c>
      <c r="W13" s="7" t="n">
        <f aca="false">W12/30</f>
        <v>39.145174619274</v>
      </c>
      <c r="X13" s="7" t="n">
        <f aca="false">X12/30</f>
        <v>42.6178711198934</v>
      </c>
      <c r="Y13" s="7" t="n">
        <f aca="false">Y12/30</f>
        <v>46.3986418877169</v>
      </c>
    </row>
    <row r="14" customFormat="false" ht="15" hidden="false" customHeight="false" outlineLevel="0" collapsed="false">
      <c r="A14" s="4" t="s">
        <v>157</v>
      </c>
      <c r="B14" s="5" t="n">
        <f aca="false">Plan_Supuestos!$C$24*IF(B$4&gt;12,INDEX($B12:$Y12,B$4-12),Plan_Supuestos!$B$7)</f>
        <v>7.2</v>
      </c>
      <c r="C14" s="5" t="n">
        <f aca="false">Plan_Supuestos!$C$24*IF(C$4&gt;12,INDEX($B12:$Y12,C$4-12),Plan_Supuestos!$B$7)</f>
        <v>7.2</v>
      </c>
      <c r="D14" s="5" t="n">
        <f aca="false">Plan_Supuestos!$C$24*IF(D$4&gt;12,INDEX($B12:$Y12,D$4-12),Plan_Supuestos!$B$7)</f>
        <v>7.2</v>
      </c>
      <c r="E14" s="5" t="n">
        <f aca="false">Plan_Supuestos!$C$24*IF(E$4&gt;12,INDEX($B12:$Y12,E$4-12),Plan_Supuestos!$B$7)</f>
        <v>7.2</v>
      </c>
      <c r="F14" s="5" t="n">
        <f aca="false">Plan_Supuestos!$C$24*IF(F$4&gt;12,INDEX($B12:$Y12,F$4-12),Plan_Supuestos!$B$7)</f>
        <v>7.2</v>
      </c>
      <c r="G14" s="5" t="n">
        <f aca="false">Plan_Supuestos!$C$24*IF(G$4&gt;12,INDEX($B12:$Y12,G$4-12),Plan_Supuestos!$B$7)</f>
        <v>7.2</v>
      </c>
      <c r="H14" s="5" t="n">
        <f aca="false">Plan_Supuestos!$C$24*IF(H$4&gt;12,INDEX($B12:$Y12,H$4-12),Plan_Supuestos!$B$7)</f>
        <v>7.2</v>
      </c>
      <c r="I14" s="5" t="n">
        <f aca="false">Plan_Supuestos!$C$24*IF(I$4&gt;12,INDEX($B12:$Y12,I$4-12),Plan_Supuestos!$B$7)</f>
        <v>7.2</v>
      </c>
      <c r="J14" s="5" t="n">
        <f aca="false">Plan_Supuestos!$C$24*IF(J$4&gt;12,INDEX($B12:$Y12,J$4-12),Plan_Supuestos!$B$7)</f>
        <v>7.2</v>
      </c>
      <c r="K14" s="5" t="n">
        <f aca="false">Plan_Supuestos!$C$24*IF(K$4&gt;12,INDEX($B12:$Y12,K$4-12),Plan_Supuestos!$B$7)</f>
        <v>7.2</v>
      </c>
      <c r="L14" s="5" t="n">
        <f aca="false">Plan_Supuestos!$C$24*IF(L$4&gt;12,INDEX($B12:$Y12,L$4-12),Plan_Supuestos!$B$7)</f>
        <v>7.2</v>
      </c>
      <c r="M14" s="5" t="n">
        <f aca="false">Plan_Supuestos!$C$24*IF(M$4&gt;12,INDEX($B12:$Y12,M$4-12),Plan_Supuestos!$B$7)</f>
        <v>7.2</v>
      </c>
      <c r="N14" s="5" t="n">
        <f aca="false">Plan_Supuestos!$C$24*IF(N$4&gt;12,INDEX($B12:$Y12,N$4-12),Plan_Supuestos!$B$7)</f>
        <v>19.6986518636003</v>
      </c>
      <c r="O14" s="5" t="n">
        <f aca="false">Plan_Supuestos!$C$24*IF(O$4&gt;12,INDEX($B12:$Y12,O$4-12),Plan_Supuestos!$B$7)</f>
        <v>21.5819049709665</v>
      </c>
      <c r="P14" s="5" t="n">
        <f aca="false">Plan_Supuestos!$C$24*IF(P$4&gt;12,INDEX($B12:$Y12,P$4-12),Plan_Supuestos!$B$7)</f>
        <v>23.6479456412259</v>
      </c>
      <c r="Q14" s="5" t="n">
        <f aca="false">Plan_Supuestos!$C$24*IF(Q$4&gt;12,INDEX($B12:$Y12,Q$4-12),Plan_Supuestos!$B$7)</f>
        <v>25.9148259531098</v>
      </c>
      <c r="R14" s="5" t="n">
        <f aca="false">Plan_Supuestos!$C$24*IF(R$4&gt;12,INDEX($B12:$Y12,R$4-12),Plan_Supuestos!$B$7)</f>
        <v>28.4024172171319</v>
      </c>
      <c r="S14" s="5" t="n">
        <f aca="false">Plan_Supuestos!$C$24*IF(S$4&gt;12,INDEX($B12:$Y12,S$4-12),Plan_Supuestos!$B$7)</f>
        <v>31.132597723162</v>
      </c>
      <c r="T14" s="5" t="n">
        <f aca="false">Plan_Supuestos!$C$24*IF(T$4&gt;12,INDEX($B12:$Y12,T$4-12),Plan_Supuestos!$B$7)</f>
        <v>34.1294604168891</v>
      </c>
      <c r="U14" s="5" t="n">
        <f aca="false">Plan_Supuestos!$C$24*IF(U$4&gt;12,INDEX($B12:$Y12,U$4-12),Plan_Supuestos!$B$7)</f>
        <v>37.4195426923871</v>
      </c>
      <c r="V14" s="5" t="n">
        <f aca="false">Plan_Supuestos!$C$24*IF(V$4&gt;12,INDEX($B12:$Y12,V$4-12),Plan_Supuestos!$B$7)</f>
        <v>41.032080737709</v>
      </c>
      <c r="W14" s="5" t="n">
        <f aca="false">Plan_Supuestos!$C$24*IF(W$4&gt;12,INDEX($B12:$Y12,W$4-12),Plan_Supuestos!$B$7)</f>
        <v>44.9992911500103</v>
      </c>
      <c r="X14" s="5" t="n">
        <f aca="false">Plan_Supuestos!$C$24*IF(X$4&gt;12,INDEX($B12:$Y12,X$4-12),Plan_Supuestos!$B$7)</f>
        <v>49.3566828499032</v>
      </c>
      <c r="Y14" s="5" t="n">
        <f aca="false">Plan_Supuestos!$C$24*IF(Y$4&gt;12,INDEX($B12:$Y12,Y$4-12),Plan_Supuestos!$B$7)</f>
        <v>54.1434026758359</v>
      </c>
    </row>
    <row r="15" customFormat="false" ht="15" hidden="false" customHeight="false" outlineLevel="0" collapsed="false">
      <c r="A15" s="4" t="s">
        <v>158</v>
      </c>
      <c r="B15" s="5" t="n">
        <f aca="false">B12+B14</f>
        <v>171.355432196669</v>
      </c>
      <c r="C15" s="5" t="n">
        <f aca="false">C12+C14</f>
        <v>187.049208091387</v>
      </c>
      <c r="D15" s="5" t="n">
        <f aca="false">D12+D14</f>
        <v>204.266213676883</v>
      </c>
      <c r="E15" s="5" t="n">
        <f aca="false">E12+E14</f>
        <v>223.156882942582</v>
      </c>
      <c r="F15" s="5" t="n">
        <f aca="false">F12+F14</f>
        <v>243.886810142766</v>
      </c>
      <c r="G15" s="5" t="n">
        <f aca="false">G12+G14</f>
        <v>266.638314359683</v>
      </c>
      <c r="H15" s="5" t="n">
        <f aca="false">H12+H14</f>
        <v>291.612170140743</v>
      </c>
      <c r="I15" s="5" t="n">
        <f aca="false">I12+I14</f>
        <v>319.02952243656</v>
      </c>
      <c r="J15" s="5" t="n">
        <f aca="false">J12+J14</f>
        <v>349.134006147575</v>
      </c>
      <c r="K15" s="5" t="n">
        <f aca="false">K12+K14</f>
        <v>382.194092916753</v>
      </c>
      <c r="L15" s="5" t="n">
        <f aca="false">L12+L14</f>
        <v>418.50569041586</v>
      </c>
      <c r="M15" s="5" t="n">
        <f aca="false">M12+M14</f>
        <v>458.395022298632</v>
      </c>
      <c r="N15" s="5" t="n">
        <f aca="false">N12+N14</f>
        <v>516.502728918393</v>
      </c>
      <c r="O15" s="5" t="n">
        <f aca="false">O12+O14</f>
        <v>568.676076172202</v>
      </c>
      <c r="P15" s="5" t="n">
        <f aca="false">P12+P14</f>
        <v>626.20254548296</v>
      </c>
      <c r="Q15" s="5" t="n">
        <f aca="false">Q12+Q14</f>
        <v>689.641770725223</v>
      </c>
      <c r="R15" s="5" t="n">
        <f aca="false">R12+R14</f>
        <v>759.613230745969</v>
      </c>
      <c r="S15" s="5" t="n">
        <f aca="false">S12+S14</f>
        <v>836.802826866471</v>
      </c>
      <c r="T15" s="5" t="n">
        <f aca="false">T12+T14</f>
        <v>921.970207743651</v>
      </c>
      <c r="U15" s="5" t="n">
        <f aca="false">U12+U14</f>
        <v>1015.9569299826</v>
      </c>
      <c r="V15" s="5" t="n">
        <f aca="false">V12+V14</f>
        <v>1119.69555385862</v>
      </c>
      <c r="W15" s="5" t="n">
        <f aca="false">W12+W14</f>
        <v>1219.35452972823</v>
      </c>
      <c r="X15" s="5" t="n">
        <f aca="false">X12+X14</f>
        <v>1327.8928164467</v>
      </c>
      <c r="Y15" s="5" t="n">
        <f aca="false">Y12+Y14</f>
        <v>1446.10265930734</v>
      </c>
    </row>
    <row r="16" customFormat="false" ht="15" hidden="false" customHeight="false" outlineLevel="0" collapsed="false">
      <c r="A16" s="4" t="s">
        <v>159</v>
      </c>
      <c r="B16" s="28" t="n">
        <f aca="false">MIN(1,(B$4-1)/11)</f>
        <v>0</v>
      </c>
      <c r="C16" s="28" t="n">
        <f aca="false">MIN(1,(C$4-1)/11)</f>
        <v>0.0909090909090909</v>
      </c>
      <c r="D16" s="28" t="n">
        <f aca="false">MIN(1,(D$4-1)/11)</f>
        <v>0.181818181818182</v>
      </c>
      <c r="E16" s="28" t="n">
        <f aca="false">MIN(1,(E$4-1)/11)</f>
        <v>0.272727272727273</v>
      </c>
      <c r="F16" s="28" t="n">
        <f aca="false">MIN(1,(F$4-1)/11)</f>
        <v>0.363636363636364</v>
      </c>
      <c r="G16" s="28" t="n">
        <f aca="false">MIN(1,(G$4-1)/11)</f>
        <v>0.454545454545455</v>
      </c>
      <c r="H16" s="28" t="n">
        <f aca="false">MIN(1,(H$4-1)/11)</f>
        <v>0.545454545454545</v>
      </c>
      <c r="I16" s="28" t="n">
        <f aca="false">MIN(1,(I$4-1)/11)</f>
        <v>0.636363636363636</v>
      </c>
      <c r="J16" s="28" t="n">
        <f aca="false">MIN(1,(J$4-1)/11)</f>
        <v>0.727272727272727</v>
      </c>
      <c r="K16" s="28" t="n">
        <f aca="false">MIN(1,(K$4-1)/11)</f>
        <v>0.818181818181818</v>
      </c>
      <c r="L16" s="28" t="n">
        <f aca="false">MIN(1,(L$4-1)/11)</f>
        <v>0.909090909090909</v>
      </c>
      <c r="M16" s="28" t="n">
        <f aca="false">MIN(1,(M$4-1)/11)</f>
        <v>1</v>
      </c>
      <c r="N16" s="28" t="n">
        <f aca="false">MIN(1,(N$4-1)/11)</f>
        <v>1</v>
      </c>
      <c r="O16" s="28" t="n">
        <f aca="false">MIN(1,(O$4-1)/11)</f>
        <v>1</v>
      </c>
      <c r="P16" s="28" t="n">
        <f aca="false">MIN(1,(P$4-1)/11)</f>
        <v>1</v>
      </c>
      <c r="Q16" s="28" t="n">
        <f aca="false">MIN(1,(Q$4-1)/11)</f>
        <v>1</v>
      </c>
      <c r="R16" s="28" t="n">
        <f aca="false">MIN(1,(R$4-1)/11)</f>
        <v>1</v>
      </c>
      <c r="S16" s="28" t="n">
        <f aca="false">MIN(1,(S$4-1)/11)</f>
        <v>1</v>
      </c>
      <c r="T16" s="28" t="n">
        <f aca="false">MIN(1,(T$4-1)/11)</f>
        <v>1</v>
      </c>
      <c r="U16" s="28" t="n">
        <f aca="false">MIN(1,(U$4-1)/11)</f>
        <v>1</v>
      </c>
      <c r="V16" s="28" t="n">
        <f aca="false">MIN(1,(V$4-1)/11)</f>
        <v>1</v>
      </c>
      <c r="W16" s="28" t="n">
        <f aca="false">MIN(1,(W$4-1)/11)</f>
        <v>1</v>
      </c>
      <c r="X16" s="28" t="n">
        <f aca="false">MIN(1,(X$4-1)/11)</f>
        <v>1</v>
      </c>
      <c r="Y16" s="28" t="n">
        <f aca="false">MIN(1,(Y$4-1)/11)</f>
        <v>1</v>
      </c>
    </row>
    <row r="17" customFormat="false" ht="15" hidden="false" customHeight="false" outlineLevel="0" collapsed="false">
      <c r="A17" s="4" t="s">
        <v>160</v>
      </c>
      <c r="B17" s="28" t="n">
        <f aca="false">1-SUM(B18:B22)</f>
        <v>0.82</v>
      </c>
      <c r="C17" s="28" t="n">
        <f aca="false">1-SUM(C18:C22)</f>
        <v>0.811818181818182</v>
      </c>
      <c r="D17" s="28" t="n">
        <f aca="false">1-SUM(D18:D22)</f>
        <v>0.803636363636364</v>
      </c>
      <c r="E17" s="28" t="n">
        <f aca="false">1-SUM(E18:E22)</f>
        <v>0.795454545454545</v>
      </c>
      <c r="F17" s="28" t="n">
        <f aca="false">1-SUM(F18:F22)</f>
        <v>0.787272727272727</v>
      </c>
      <c r="G17" s="28" t="n">
        <f aca="false">1-SUM(G18:G22)</f>
        <v>0.779090909090909</v>
      </c>
      <c r="H17" s="28" t="n">
        <f aca="false">1-SUM(H18:H22)</f>
        <v>0.770909090909091</v>
      </c>
      <c r="I17" s="28" t="n">
        <f aca="false">1-SUM(I18:I22)</f>
        <v>0.762727272727273</v>
      </c>
      <c r="J17" s="28" t="n">
        <f aca="false">1-SUM(J18:J22)</f>
        <v>0.754545454545455</v>
      </c>
      <c r="K17" s="28" t="n">
        <f aca="false">1-SUM(K18:K22)</f>
        <v>0.746363636363636</v>
      </c>
      <c r="L17" s="28" t="n">
        <f aca="false">1-SUM(L18:L22)</f>
        <v>0.738181818181818</v>
      </c>
      <c r="M17" s="28" t="n">
        <f aca="false">1-SUM(M18:M22)</f>
        <v>0.73</v>
      </c>
      <c r="N17" s="28" t="n">
        <f aca="false">1-SUM(N18:N22)</f>
        <v>0.73</v>
      </c>
      <c r="O17" s="28" t="n">
        <f aca="false">1-SUM(O18:O22)</f>
        <v>0.73</v>
      </c>
      <c r="P17" s="28" t="n">
        <f aca="false">1-SUM(P18:P22)</f>
        <v>0.73</v>
      </c>
      <c r="Q17" s="28" t="n">
        <f aca="false">1-SUM(Q18:Q22)</f>
        <v>0.73</v>
      </c>
      <c r="R17" s="28" t="n">
        <f aca="false">1-SUM(R18:R22)</f>
        <v>0.73</v>
      </c>
      <c r="S17" s="28" t="n">
        <f aca="false">1-SUM(S18:S22)</f>
        <v>0.73</v>
      </c>
      <c r="T17" s="28" t="n">
        <f aca="false">1-SUM(T18:T22)</f>
        <v>0.73</v>
      </c>
      <c r="U17" s="28" t="n">
        <f aca="false">1-SUM(U18:U22)</f>
        <v>0.73</v>
      </c>
      <c r="V17" s="28" t="n">
        <f aca="false">1-SUM(V18:V22)</f>
        <v>0.73</v>
      </c>
      <c r="W17" s="28" t="n">
        <f aca="false">1-SUM(W18:W22)</f>
        <v>0.73</v>
      </c>
      <c r="X17" s="28" t="n">
        <f aca="false">1-SUM(X18:X22)</f>
        <v>0.73</v>
      </c>
      <c r="Y17" s="28" t="n">
        <f aca="false">1-SUM(Y18:Y22)</f>
        <v>0.73</v>
      </c>
    </row>
    <row r="18" customFormat="false" ht="15" hidden="false" customHeight="false" outlineLevel="0" collapsed="false">
      <c r="A18" s="4" t="s">
        <v>161</v>
      </c>
      <c r="B18" s="28" t="n">
        <f aca="false">Plan_Supuestos!$G$31+(Plan_Supuestos!$H$31-Plan_Supuestos!$G$31)*B16</f>
        <v>0.08</v>
      </c>
      <c r="C18" s="28" t="n">
        <f aca="false">Plan_Supuestos!$G$31+(Plan_Supuestos!$H$31-Plan_Supuestos!$G$31)*C16</f>
        <v>0.0772727272727273</v>
      </c>
      <c r="D18" s="28" t="n">
        <f aca="false">Plan_Supuestos!$G$31+(Plan_Supuestos!$H$31-Plan_Supuestos!$G$31)*D16</f>
        <v>0.0745454545454546</v>
      </c>
      <c r="E18" s="28" t="n">
        <f aca="false">Plan_Supuestos!$G$31+(Plan_Supuestos!$H$31-Plan_Supuestos!$G$31)*E16</f>
        <v>0.0718181818181818</v>
      </c>
      <c r="F18" s="28" t="n">
        <f aca="false">Plan_Supuestos!$G$31+(Plan_Supuestos!$H$31-Plan_Supuestos!$G$31)*F16</f>
        <v>0.0690909090909091</v>
      </c>
      <c r="G18" s="28" t="n">
        <f aca="false">Plan_Supuestos!$G$31+(Plan_Supuestos!$H$31-Plan_Supuestos!$G$31)*G16</f>
        <v>0.0663636363636364</v>
      </c>
      <c r="H18" s="28" t="n">
        <f aca="false">Plan_Supuestos!$G$31+(Plan_Supuestos!$H$31-Plan_Supuestos!$G$31)*H16</f>
        <v>0.0636363636363636</v>
      </c>
      <c r="I18" s="28" t="n">
        <f aca="false">Plan_Supuestos!$G$31+(Plan_Supuestos!$H$31-Plan_Supuestos!$G$31)*I16</f>
        <v>0.0609090909090909</v>
      </c>
      <c r="J18" s="28" t="n">
        <f aca="false">Plan_Supuestos!$G$31+(Plan_Supuestos!$H$31-Plan_Supuestos!$G$31)*J16</f>
        <v>0.0581818181818182</v>
      </c>
      <c r="K18" s="28" t="n">
        <f aca="false">Plan_Supuestos!$G$31+(Plan_Supuestos!$H$31-Plan_Supuestos!$G$31)*K16</f>
        <v>0.0554545454545455</v>
      </c>
      <c r="L18" s="28" t="n">
        <f aca="false">Plan_Supuestos!$G$31+(Plan_Supuestos!$H$31-Plan_Supuestos!$G$31)*L16</f>
        <v>0.0527272727272727</v>
      </c>
      <c r="M18" s="28" t="n">
        <f aca="false">Plan_Supuestos!$G$31+(Plan_Supuestos!$H$31-Plan_Supuestos!$G$31)*M16</f>
        <v>0.05</v>
      </c>
      <c r="N18" s="28" t="n">
        <f aca="false">Plan_Supuestos!$G$31+(Plan_Supuestos!$H$31-Plan_Supuestos!$G$31)*N16</f>
        <v>0.05</v>
      </c>
      <c r="O18" s="28" t="n">
        <f aca="false">Plan_Supuestos!$G$31+(Plan_Supuestos!$H$31-Plan_Supuestos!$G$31)*O16</f>
        <v>0.05</v>
      </c>
      <c r="P18" s="28" t="n">
        <f aca="false">Plan_Supuestos!$G$31+(Plan_Supuestos!$H$31-Plan_Supuestos!$G$31)*P16</f>
        <v>0.05</v>
      </c>
      <c r="Q18" s="28" t="n">
        <f aca="false">Plan_Supuestos!$G$31+(Plan_Supuestos!$H$31-Plan_Supuestos!$G$31)*Q16</f>
        <v>0.05</v>
      </c>
      <c r="R18" s="28" t="n">
        <f aca="false">Plan_Supuestos!$G$31+(Plan_Supuestos!$H$31-Plan_Supuestos!$G$31)*R16</f>
        <v>0.05</v>
      </c>
      <c r="S18" s="28" t="n">
        <f aca="false">Plan_Supuestos!$G$31+(Plan_Supuestos!$H$31-Plan_Supuestos!$G$31)*S16</f>
        <v>0.05</v>
      </c>
      <c r="T18" s="28" t="n">
        <f aca="false">Plan_Supuestos!$G$31+(Plan_Supuestos!$H$31-Plan_Supuestos!$G$31)*T16</f>
        <v>0.05</v>
      </c>
      <c r="U18" s="28" t="n">
        <f aca="false">Plan_Supuestos!$G$31+(Plan_Supuestos!$H$31-Plan_Supuestos!$G$31)*U16</f>
        <v>0.05</v>
      </c>
      <c r="V18" s="28" t="n">
        <f aca="false">Plan_Supuestos!$G$31+(Plan_Supuestos!$H$31-Plan_Supuestos!$G$31)*V16</f>
        <v>0.05</v>
      </c>
      <c r="W18" s="28" t="n">
        <f aca="false">Plan_Supuestos!$G$31+(Plan_Supuestos!$H$31-Plan_Supuestos!$G$31)*W16</f>
        <v>0.05</v>
      </c>
      <c r="X18" s="28" t="n">
        <f aca="false">Plan_Supuestos!$G$31+(Plan_Supuestos!$H$31-Plan_Supuestos!$G$31)*X16</f>
        <v>0.05</v>
      </c>
      <c r="Y18" s="28" t="n">
        <f aca="false">Plan_Supuestos!$G$31+(Plan_Supuestos!$H$31-Plan_Supuestos!$G$31)*Y16</f>
        <v>0.05</v>
      </c>
    </row>
    <row r="19" customFormat="false" ht="15" hidden="false" customHeight="false" outlineLevel="0" collapsed="false">
      <c r="A19" s="4" t="s">
        <v>162</v>
      </c>
      <c r="B19" s="28" t="n">
        <f aca="false">Plan_Supuestos!$G$32+(Plan_Supuestos!$H$32-Plan_Supuestos!$G$32)*B16</f>
        <v>0.05</v>
      </c>
      <c r="C19" s="28" t="n">
        <f aca="false">Plan_Supuestos!$G$32+(Plan_Supuestos!$H$32-Plan_Supuestos!$G$32)*C16</f>
        <v>0.0545454545454546</v>
      </c>
      <c r="D19" s="28" t="n">
        <f aca="false">Plan_Supuestos!$G$32+(Plan_Supuestos!$H$32-Plan_Supuestos!$G$32)*D16</f>
        <v>0.0590909090909091</v>
      </c>
      <c r="E19" s="28" t="n">
        <f aca="false">Plan_Supuestos!$G$32+(Plan_Supuestos!$H$32-Plan_Supuestos!$G$32)*E16</f>
        <v>0.0636363636363636</v>
      </c>
      <c r="F19" s="28" t="n">
        <f aca="false">Plan_Supuestos!$G$32+(Plan_Supuestos!$H$32-Plan_Supuestos!$G$32)*F16</f>
        <v>0.0681818181818182</v>
      </c>
      <c r="G19" s="28" t="n">
        <f aca="false">Plan_Supuestos!$G$32+(Plan_Supuestos!$H$32-Plan_Supuestos!$G$32)*G16</f>
        <v>0.0727272727272727</v>
      </c>
      <c r="H19" s="28" t="n">
        <f aca="false">Plan_Supuestos!$G$32+(Plan_Supuestos!$H$32-Plan_Supuestos!$G$32)*H16</f>
        <v>0.0772727272727273</v>
      </c>
      <c r="I19" s="28" t="n">
        <f aca="false">Plan_Supuestos!$G$32+(Plan_Supuestos!$H$32-Plan_Supuestos!$G$32)*I16</f>
        <v>0.0818181818181818</v>
      </c>
      <c r="J19" s="28" t="n">
        <f aca="false">Plan_Supuestos!$G$32+(Plan_Supuestos!$H$32-Plan_Supuestos!$G$32)*J16</f>
        <v>0.0863636363636364</v>
      </c>
      <c r="K19" s="28" t="n">
        <f aca="false">Plan_Supuestos!$G$32+(Plan_Supuestos!$H$32-Plan_Supuestos!$G$32)*K16</f>
        <v>0.0909090909090909</v>
      </c>
      <c r="L19" s="28" t="n">
        <f aca="false">Plan_Supuestos!$G$32+(Plan_Supuestos!$H$32-Plan_Supuestos!$G$32)*L16</f>
        <v>0.0954545454545455</v>
      </c>
      <c r="M19" s="28" t="n">
        <f aca="false">Plan_Supuestos!$G$32+(Plan_Supuestos!$H$32-Plan_Supuestos!$G$32)*M16</f>
        <v>0.1</v>
      </c>
      <c r="N19" s="28" t="n">
        <f aca="false">Plan_Supuestos!$G$32+(Plan_Supuestos!$H$32-Plan_Supuestos!$G$32)*N16</f>
        <v>0.1</v>
      </c>
      <c r="O19" s="28" t="n">
        <f aca="false">Plan_Supuestos!$G$32+(Plan_Supuestos!$H$32-Plan_Supuestos!$G$32)*O16</f>
        <v>0.1</v>
      </c>
      <c r="P19" s="28" t="n">
        <f aca="false">Plan_Supuestos!$G$32+(Plan_Supuestos!$H$32-Plan_Supuestos!$G$32)*P16</f>
        <v>0.1</v>
      </c>
      <c r="Q19" s="28" t="n">
        <f aca="false">Plan_Supuestos!$G$32+(Plan_Supuestos!$H$32-Plan_Supuestos!$G$32)*Q16</f>
        <v>0.1</v>
      </c>
      <c r="R19" s="28" t="n">
        <f aca="false">Plan_Supuestos!$G$32+(Plan_Supuestos!$H$32-Plan_Supuestos!$G$32)*R16</f>
        <v>0.1</v>
      </c>
      <c r="S19" s="28" t="n">
        <f aca="false">Plan_Supuestos!$G$32+(Plan_Supuestos!$H$32-Plan_Supuestos!$G$32)*S16</f>
        <v>0.1</v>
      </c>
      <c r="T19" s="28" t="n">
        <f aca="false">Plan_Supuestos!$G$32+(Plan_Supuestos!$H$32-Plan_Supuestos!$G$32)*T16</f>
        <v>0.1</v>
      </c>
      <c r="U19" s="28" t="n">
        <f aca="false">Plan_Supuestos!$G$32+(Plan_Supuestos!$H$32-Plan_Supuestos!$G$32)*U16</f>
        <v>0.1</v>
      </c>
      <c r="V19" s="28" t="n">
        <f aca="false">Plan_Supuestos!$G$32+(Plan_Supuestos!$H$32-Plan_Supuestos!$G$32)*V16</f>
        <v>0.1</v>
      </c>
      <c r="W19" s="28" t="n">
        <f aca="false">Plan_Supuestos!$G$32+(Plan_Supuestos!$H$32-Plan_Supuestos!$G$32)*W16</f>
        <v>0.1</v>
      </c>
      <c r="X19" s="28" t="n">
        <f aca="false">Plan_Supuestos!$G$32+(Plan_Supuestos!$H$32-Plan_Supuestos!$G$32)*X16</f>
        <v>0.1</v>
      </c>
      <c r="Y19" s="28" t="n">
        <f aca="false">Plan_Supuestos!$G$32+(Plan_Supuestos!$H$32-Plan_Supuestos!$G$32)*Y16</f>
        <v>0.1</v>
      </c>
    </row>
    <row r="20" customFormat="false" ht="15" hidden="false" customHeight="false" outlineLevel="0" collapsed="false">
      <c r="A20" s="4" t="s">
        <v>163</v>
      </c>
      <c r="B20" s="28" t="n">
        <f aca="false">Plan_Supuestos!$G$33+(Plan_Supuestos!$H$33-Plan_Supuestos!$G$33)*B16</f>
        <v>0.04</v>
      </c>
      <c r="C20" s="28" t="n">
        <f aca="false">Plan_Supuestos!$G$33+(Plan_Supuestos!$H$33-Plan_Supuestos!$G$33)*C16</f>
        <v>0.0418181818181818</v>
      </c>
      <c r="D20" s="28" t="n">
        <f aca="false">Plan_Supuestos!$G$33+(Plan_Supuestos!$H$33-Plan_Supuestos!$G$33)*D16</f>
        <v>0.0436363636363636</v>
      </c>
      <c r="E20" s="28" t="n">
        <f aca="false">Plan_Supuestos!$G$33+(Plan_Supuestos!$H$33-Plan_Supuestos!$G$33)*E16</f>
        <v>0.0454545454545455</v>
      </c>
      <c r="F20" s="28" t="n">
        <f aca="false">Plan_Supuestos!$G$33+(Plan_Supuestos!$H$33-Plan_Supuestos!$G$33)*F16</f>
        <v>0.0472727272727273</v>
      </c>
      <c r="G20" s="28" t="n">
        <f aca="false">Plan_Supuestos!$G$33+(Plan_Supuestos!$H$33-Plan_Supuestos!$G$33)*G16</f>
        <v>0.0490909090909091</v>
      </c>
      <c r="H20" s="28" t="n">
        <f aca="false">Plan_Supuestos!$G$33+(Plan_Supuestos!$H$33-Plan_Supuestos!$G$33)*H16</f>
        <v>0.0509090909090909</v>
      </c>
      <c r="I20" s="28" t="n">
        <f aca="false">Plan_Supuestos!$G$33+(Plan_Supuestos!$H$33-Plan_Supuestos!$G$33)*I16</f>
        <v>0.0527272727272727</v>
      </c>
      <c r="J20" s="28" t="n">
        <f aca="false">Plan_Supuestos!$G$33+(Plan_Supuestos!$H$33-Plan_Supuestos!$G$33)*J16</f>
        <v>0.0545454545454545</v>
      </c>
      <c r="K20" s="28" t="n">
        <f aca="false">Plan_Supuestos!$G$33+(Plan_Supuestos!$H$33-Plan_Supuestos!$G$33)*K16</f>
        <v>0.0563636363636364</v>
      </c>
      <c r="L20" s="28" t="n">
        <f aca="false">Plan_Supuestos!$G$33+(Plan_Supuestos!$H$33-Plan_Supuestos!$G$33)*L16</f>
        <v>0.0581818181818182</v>
      </c>
      <c r="M20" s="28" t="n">
        <f aca="false">Plan_Supuestos!$G$33+(Plan_Supuestos!$H$33-Plan_Supuestos!$G$33)*M16</f>
        <v>0.06</v>
      </c>
      <c r="N20" s="28" t="n">
        <f aca="false">Plan_Supuestos!$G$33+(Plan_Supuestos!$H$33-Plan_Supuestos!$G$33)*N16</f>
        <v>0.06</v>
      </c>
      <c r="O20" s="28" t="n">
        <f aca="false">Plan_Supuestos!$G$33+(Plan_Supuestos!$H$33-Plan_Supuestos!$G$33)*O16</f>
        <v>0.06</v>
      </c>
      <c r="P20" s="28" t="n">
        <f aca="false">Plan_Supuestos!$G$33+(Plan_Supuestos!$H$33-Plan_Supuestos!$G$33)*P16</f>
        <v>0.06</v>
      </c>
      <c r="Q20" s="28" t="n">
        <f aca="false">Plan_Supuestos!$G$33+(Plan_Supuestos!$H$33-Plan_Supuestos!$G$33)*Q16</f>
        <v>0.06</v>
      </c>
      <c r="R20" s="28" t="n">
        <f aca="false">Plan_Supuestos!$G$33+(Plan_Supuestos!$H$33-Plan_Supuestos!$G$33)*R16</f>
        <v>0.06</v>
      </c>
      <c r="S20" s="28" t="n">
        <f aca="false">Plan_Supuestos!$G$33+(Plan_Supuestos!$H$33-Plan_Supuestos!$G$33)*S16</f>
        <v>0.06</v>
      </c>
      <c r="T20" s="28" t="n">
        <f aca="false">Plan_Supuestos!$G$33+(Plan_Supuestos!$H$33-Plan_Supuestos!$G$33)*T16</f>
        <v>0.06</v>
      </c>
      <c r="U20" s="28" t="n">
        <f aca="false">Plan_Supuestos!$G$33+(Plan_Supuestos!$H$33-Plan_Supuestos!$G$33)*U16</f>
        <v>0.06</v>
      </c>
      <c r="V20" s="28" t="n">
        <f aca="false">Plan_Supuestos!$G$33+(Plan_Supuestos!$H$33-Plan_Supuestos!$G$33)*V16</f>
        <v>0.06</v>
      </c>
      <c r="W20" s="28" t="n">
        <f aca="false">Plan_Supuestos!$G$33+(Plan_Supuestos!$H$33-Plan_Supuestos!$G$33)*W16</f>
        <v>0.06</v>
      </c>
      <c r="X20" s="28" t="n">
        <f aca="false">Plan_Supuestos!$G$33+(Plan_Supuestos!$H$33-Plan_Supuestos!$G$33)*X16</f>
        <v>0.06</v>
      </c>
      <c r="Y20" s="28" t="n">
        <f aca="false">Plan_Supuestos!$G$33+(Plan_Supuestos!$H$33-Plan_Supuestos!$G$33)*Y16</f>
        <v>0.06</v>
      </c>
    </row>
    <row r="21" customFormat="false" ht="15" hidden="false" customHeight="false" outlineLevel="0" collapsed="false">
      <c r="A21" s="4" t="s">
        <v>164</v>
      </c>
      <c r="B21" s="28" t="n">
        <f aca="false">Plan_Supuestos!$G$34+(Plan_Supuestos!$C$25-Plan_Supuestos!$G$34)*B16</f>
        <v>0.01</v>
      </c>
      <c r="C21" s="28" t="n">
        <f aca="false">Plan_Supuestos!$G$34+(Plan_Supuestos!$C$25-Plan_Supuestos!$G$34)*C16</f>
        <v>0.0145454545454545</v>
      </c>
      <c r="D21" s="28" t="n">
        <f aca="false">Plan_Supuestos!$G$34+(Plan_Supuestos!$C$25-Plan_Supuestos!$G$34)*D16</f>
        <v>0.0190909090909091</v>
      </c>
      <c r="E21" s="28" t="n">
        <f aca="false">Plan_Supuestos!$G$34+(Plan_Supuestos!$C$25-Plan_Supuestos!$G$34)*E16</f>
        <v>0.0236363636363636</v>
      </c>
      <c r="F21" s="28" t="n">
        <f aca="false">Plan_Supuestos!$G$34+(Plan_Supuestos!$C$25-Plan_Supuestos!$G$34)*F16</f>
        <v>0.0281818181818182</v>
      </c>
      <c r="G21" s="28" t="n">
        <f aca="false">Plan_Supuestos!$G$34+(Plan_Supuestos!$C$25-Plan_Supuestos!$G$34)*G16</f>
        <v>0.0327272727272727</v>
      </c>
      <c r="H21" s="28" t="n">
        <f aca="false">Plan_Supuestos!$G$34+(Plan_Supuestos!$C$25-Plan_Supuestos!$G$34)*H16</f>
        <v>0.0372727272727273</v>
      </c>
      <c r="I21" s="28" t="n">
        <f aca="false">Plan_Supuestos!$G$34+(Plan_Supuestos!$C$25-Plan_Supuestos!$G$34)*I16</f>
        <v>0.0418181818181818</v>
      </c>
      <c r="J21" s="28" t="n">
        <f aca="false">Plan_Supuestos!$G$34+(Plan_Supuestos!$C$25-Plan_Supuestos!$G$34)*J16</f>
        <v>0.0463636363636364</v>
      </c>
      <c r="K21" s="28" t="n">
        <f aca="false">Plan_Supuestos!$G$34+(Plan_Supuestos!$C$25-Plan_Supuestos!$G$34)*K16</f>
        <v>0.0509090909090909</v>
      </c>
      <c r="L21" s="28" t="n">
        <f aca="false">Plan_Supuestos!$G$34+(Plan_Supuestos!$C$25-Plan_Supuestos!$G$34)*L16</f>
        <v>0.0554545454545455</v>
      </c>
      <c r="M21" s="28" t="n">
        <f aca="false">Plan_Supuestos!$G$34+(Plan_Supuestos!$C$25-Plan_Supuestos!$G$34)*M16</f>
        <v>0.06</v>
      </c>
      <c r="N21" s="28" t="n">
        <f aca="false">Plan_Supuestos!$G$34+(Plan_Supuestos!$C$25-Plan_Supuestos!$G$34)*N16</f>
        <v>0.06</v>
      </c>
      <c r="O21" s="28" t="n">
        <f aca="false">Plan_Supuestos!$G$34+(Plan_Supuestos!$C$25-Plan_Supuestos!$G$34)*O16</f>
        <v>0.06</v>
      </c>
      <c r="P21" s="28" t="n">
        <f aca="false">Plan_Supuestos!$G$34+(Plan_Supuestos!$C$25-Plan_Supuestos!$G$34)*P16</f>
        <v>0.06</v>
      </c>
      <c r="Q21" s="28" t="n">
        <f aca="false">Plan_Supuestos!$G$34+(Plan_Supuestos!$C$25-Plan_Supuestos!$G$34)*Q16</f>
        <v>0.06</v>
      </c>
      <c r="R21" s="28" t="n">
        <f aca="false">Plan_Supuestos!$G$34+(Plan_Supuestos!$C$25-Plan_Supuestos!$G$34)*R16</f>
        <v>0.06</v>
      </c>
      <c r="S21" s="28" t="n">
        <f aca="false">Plan_Supuestos!$G$34+(Plan_Supuestos!$C$25-Plan_Supuestos!$G$34)*S16</f>
        <v>0.06</v>
      </c>
      <c r="T21" s="28" t="n">
        <f aca="false">Plan_Supuestos!$G$34+(Plan_Supuestos!$C$25-Plan_Supuestos!$G$34)*T16</f>
        <v>0.06</v>
      </c>
      <c r="U21" s="28" t="n">
        <f aca="false">Plan_Supuestos!$G$34+(Plan_Supuestos!$C$25-Plan_Supuestos!$G$34)*U16</f>
        <v>0.06</v>
      </c>
      <c r="V21" s="28" t="n">
        <f aca="false">Plan_Supuestos!$G$34+(Plan_Supuestos!$C$25-Plan_Supuestos!$G$34)*V16</f>
        <v>0.06</v>
      </c>
      <c r="W21" s="28" t="n">
        <f aca="false">Plan_Supuestos!$G$34+(Plan_Supuestos!$C$25-Plan_Supuestos!$G$34)*W16</f>
        <v>0.06</v>
      </c>
      <c r="X21" s="28" t="n">
        <f aca="false">Plan_Supuestos!$G$34+(Plan_Supuestos!$C$25-Plan_Supuestos!$G$34)*X16</f>
        <v>0.06</v>
      </c>
      <c r="Y21" s="28" t="n">
        <f aca="false">Plan_Supuestos!$G$34+(Plan_Supuestos!$C$25-Plan_Supuestos!$G$34)*Y16</f>
        <v>0.06</v>
      </c>
    </row>
    <row r="22" customFormat="false" ht="15" hidden="false" customHeight="false" outlineLevel="0" collapsed="false">
      <c r="A22" s="4" t="s">
        <v>165</v>
      </c>
      <c r="B22" s="28" t="n">
        <f aca="false">Plan_Supuestos!$G$35+(Plan_Supuestos!$H$35-Plan_Supuestos!$G$35)*B16</f>
        <v>0</v>
      </c>
      <c r="C22" s="28" t="n">
        <f aca="false">Plan_Supuestos!$G$35+(Plan_Supuestos!$H$35-Plan_Supuestos!$G$35)*C16</f>
        <v>0</v>
      </c>
      <c r="D22" s="28" t="n">
        <f aca="false">Plan_Supuestos!$G$35+(Plan_Supuestos!$H$35-Plan_Supuestos!$G$35)*D16</f>
        <v>0</v>
      </c>
      <c r="E22" s="28" t="n">
        <f aca="false">Plan_Supuestos!$G$35+(Plan_Supuestos!$H$35-Plan_Supuestos!$G$35)*E16</f>
        <v>0</v>
      </c>
      <c r="F22" s="28" t="n">
        <f aca="false">Plan_Supuestos!$G$35+(Plan_Supuestos!$H$35-Plan_Supuestos!$G$35)*F16</f>
        <v>0</v>
      </c>
      <c r="G22" s="28" t="n">
        <f aca="false">Plan_Supuestos!$G$35+(Plan_Supuestos!$H$35-Plan_Supuestos!$G$35)*G16</f>
        <v>0</v>
      </c>
      <c r="H22" s="28" t="n">
        <f aca="false">Plan_Supuestos!$G$35+(Plan_Supuestos!$H$35-Plan_Supuestos!$G$35)*H16</f>
        <v>0</v>
      </c>
      <c r="I22" s="28" t="n">
        <f aca="false">Plan_Supuestos!$G$35+(Plan_Supuestos!$H$35-Plan_Supuestos!$G$35)*I16</f>
        <v>0</v>
      </c>
      <c r="J22" s="28" t="n">
        <f aca="false">Plan_Supuestos!$G$35+(Plan_Supuestos!$H$35-Plan_Supuestos!$G$35)*J16</f>
        <v>0</v>
      </c>
      <c r="K22" s="28" t="n">
        <f aca="false">Plan_Supuestos!$G$35+(Plan_Supuestos!$H$35-Plan_Supuestos!$G$35)*K16</f>
        <v>0</v>
      </c>
      <c r="L22" s="28" t="n">
        <f aca="false">Plan_Supuestos!$G$35+(Plan_Supuestos!$H$35-Plan_Supuestos!$G$35)*L16</f>
        <v>0</v>
      </c>
      <c r="M22" s="28" t="n">
        <f aca="false">Plan_Supuestos!$G$35+(Plan_Supuestos!$H$35-Plan_Supuestos!$G$35)*M16</f>
        <v>0</v>
      </c>
      <c r="N22" s="28" t="n">
        <f aca="false">Plan_Supuestos!$G$35+(Plan_Supuestos!$H$35-Plan_Supuestos!$G$35)*N16</f>
        <v>0</v>
      </c>
      <c r="O22" s="28" t="n">
        <f aca="false">Plan_Supuestos!$G$35+(Plan_Supuestos!$H$35-Plan_Supuestos!$G$35)*O16</f>
        <v>0</v>
      </c>
      <c r="P22" s="28" t="n">
        <f aca="false">Plan_Supuestos!$G$35+(Plan_Supuestos!$H$35-Plan_Supuestos!$G$35)*P16</f>
        <v>0</v>
      </c>
      <c r="Q22" s="28" t="n">
        <f aca="false">Plan_Supuestos!$G$35+(Plan_Supuestos!$H$35-Plan_Supuestos!$G$35)*Q16</f>
        <v>0</v>
      </c>
      <c r="R22" s="28" t="n">
        <f aca="false">Plan_Supuestos!$G$35+(Plan_Supuestos!$H$35-Plan_Supuestos!$G$35)*R16</f>
        <v>0</v>
      </c>
      <c r="S22" s="28" t="n">
        <f aca="false">Plan_Supuestos!$G$35+(Plan_Supuestos!$H$35-Plan_Supuestos!$G$35)*S16</f>
        <v>0</v>
      </c>
      <c r="T22" s="28" t="n">
        <f aca="false">Plan_Supuestos!$G$35+(Plan_Supuestos!$H$35-Plan_Supuestos!$G$35)*T16</f>
        <v>0</v>
      </c>
      <c r="U22" s="28" t="n">
        <f aca="false">Plan_Supuestos!$G$35+(Plan_Supuestos!$H$35-Plan_Supuestos!$G$35)*U16</f>
        <v>0</v>
      </c>
      <c r="V22" s="28" t="n">
        <f aca="false">Plan_Supuestos!$G$35+(Plan_Supuestos!$H$35-Plan_Supuestos!$G$35)*V16</f>
        <v>0</v>
      </c>
      <c r="W22" s="28" t="n">
        <f aca="false">Plan_Supuestos!$G$35+(Plan_Supuestos!$H$35-Plan_Supuestos!$G$35)*W16</f>
        <v>0</v>
      </c>
      <c r="X22" s="28" t="n">
        <f aca="false">Plan_Supuestos!$G$35+(Plan_Supuestos!$H$35-Plan_Supuestos!$G$35)*X16</f>
        <v>0</v>
      </c>
      <c r="Y22" s="28" t="n">
        <f aca="false">Plan_Supuestos!$G$35+(Plan_Supuestos!$H$35-Plan_Supuestos!$G$35)*Y16</f>
        <v>0</v>
      </c>
    </row>
    <row r="23" customFormat="false" ht="15" hidden="false" customHeight="false" outlineLevel="0" collapsed="false">
      <c r="A23" s="4" t="s">
        <v>166</v>
      </c>
      <c r="B23" s="6" t="n">
        <f aca="false">SUMPRODUCT(B17:B22,Plan_Supuestos!$D$30:$D$35)+(Plan_Supuestos!$B$43+(Plan_Supuestos!$B$44-Plan_Supuestos!$B$43)*B16)*Plan_Supuestos!$B$45</f>
        <v>203.66340959428</v>
      </c>
      <c r="C23" s="6" t="n">
        <f aca="false">SUMPRODUCT(C17:C22,Plan_Supuestos!$D$30:$D$35)+(Plan_Supuestos!$B$43+(Plan_Supuestos!$B$44-Plan_Supuestos!$B$43)*C16)*Plan_Supuestos!$B$45</f>
        <v>206.778933599251</v>
      </c>
      <c r="D23" s="6" t="n">
        <f aca="false">SUMPRODUCT(D17:D22,Plan_Supuestos!$D$30:$D$35)+(Plan_Supuestos!$B$43+(Plan_Supuestos!$B$44-Plan_Supuestos!$B$43)*D16)*Plan_Supuestos!$B$45</f>
        <v>209.894457604221</v>
      </c>
      <c r="E23" s="6" t="n">
        <f aca="false">SUMPRODUCT(E17:E22,Plan_Supuestos!$D$30:$D$35)+(Plan_Supuestos!$B$43+(Plan_Supuestos!$B$44-Plan_Supuestos!$B$43)*E16)*Plan_Supuestos!$B$45</f>
        <v>213.009981609192</v>
      </c>
      <c r="F23" s="6" t="n">
        <f aca="false">SUMPRODUCT(F17:F22,Plan_Supuestos!$D$30:$D$35)+(Plan_Supuestos!$B$43+(Plan_Supuestos!$B$44-Plan_Supuestos!$B$43)*F16)*Plan_Supuestos!$B$45</f>
        <v>216.125505614162</v>
      </c>
      <c r="G23" s="6" t="n">
        <f aca="false">SUMPRODUCT(G17:G22,Plan_Supuestos!$D$30:$D$35)+(Plan_Supuestos!$B$43+(Plan_Supuestos!$B$44-Plan_Supuestos!$B$43)*G16)*Plan_Supuestos!$B$45</f>
        <v>219.241029619133</v>
      </c>
      <c r="H23" s="6" t="n">
        <f aca="false">SUMPRODUCT(H17:H22,Plan_Supuestos!$D$30:$D$35)+(Plan_Supuestos!$B$43+(Plan_Supuestos!$B$44-Plan_Supuestos!$B$43)*H16)*Plan_Supuestos!$B$45</f>
        <v>222.356553624103</v>
      </c>
      <c r="I23" s="6" t="n">
        <f aca="false">SUMPRODUCT(I17:I22,Plan_Supuestos!$D$30:$D$35)+(Plan_Supuestos!$B$43+(Plan_Supuestos!$B$44-Plan_Supuestos!$B$43)*I16)*Plan_Supuestos!$B$45</f>
        <v>225.472077629073</v>
      </c>
      <c r="J23" s="6" t="n">
        <f aca="false">SUMPRODUCT(J17:J22,Plan_Supuestos!$D$30:$D$35)+(Plan_Supuestos!$B$43+(Plan_Supuestos!$B$44-Plan_Supuestos!$B$43)*J16)*Plan_Supuestos!$B$45</f>
        <v>228.587601634044</v>
      </c>
      <c r="K23" s="6" t="n">
        <f aca="false">SUMPRODUCT(K17:K22,Plan_Supuestos!$D$30:$D$35)+(Plan_Supuestos!$B$43+(Plan_Supuestos!$B$44-Plan_Supuestos!$B$43)*K16)*Plan_Supuestos!$B$45</f>
        <v>231.703125639014</v>
      </c>
      <c r="L23" s="6" t="n">
        <f aca="false">SUMPRODUCT(L17:L22,Plan_Supuestos!$D$30:$D$35)+(Plan_Supuestos!$B$43+(Plan_Supuestos!$B$44-Plan_Supuestos!$B$43)*L16)*Plan_Supuestos!$B$45</f>
        <v>234.818649643985</v>
      </c>
      <c r="M23" s="6" t="n">
        <f aca="false">SUMPRODUCT(M17:M22,Plan_Supuestos!$D$30:$D$35)+(Plan_Supuestos!$B$43+(Plan_Supuestos!$B$44-Plan_Supuestos!$B$43)*M16)*Plan_Supuestos!$B$45</f>
        <v>237.934173648955</v>
      </c>
      <c r="N23" s="6" t="n">
        <f aca="false">SUMPRODUCT(N17:N22,Plan_Supuestos!$D$30:$D$35)+(Plan_Supuestos!$B$43+(Plan_Supuestos!$B$44-Plan_Supuestos!$B$43)*N16)*Plan_Supuestos!$B$45</f>
        <v>237.934173648955</v>
      </c>
      <c r="O23" s="6" t="n">
        <f aca="false">SUMPRODUCT(O17:O22,Plan_Supuestos!$D$30:$D$35)+(Plan_Supuestos!$B$43+(Plan_Supuestos!$B$44-Plan_Supuestos!$B$43)*O16)*Plan_Supuestos!$B$45</f>
        <v>237.934173648955</v>
      </c>
      <c r="P23" s="6" t="n">
        <f aca="false">SUMPRODUCT(P17:P22,Plan_Supuestos!$D$30:$D$35)+(Plan_Supuestos!$B$43+(Plan_Supuestos!$B$44-Plan_Supuestos!$B$43)*P16)*Plan_Supuestos!$B$45</f>
        <v>237.934173648955</v>
      </c>
      <c r="Q23" s="6" t="n">
        <f aca="false">SUMPRODUCT(Q17:Q22,Plan_Supuestos!$D$30:$D$35)+(Plan_Supuestos!$B$43+(Plan_Supuestos!$B$44-Plan_Supuestos!$B$43)*Q16)*Plan_Supuestos!$B$45</f>
        <v>237.934173648955</v>
      </c>
      <c r="R23" s="6" t="n">
        <f aca="false">SUMPRODUCT(R17:R22,Plan_Supuestos!$D$30:$D$35)+(Plan_Supuestos!$B$43+(Plan_Supuestos!$B$44-Plan_Supuestos!$B$43)*R16)*Plan_Supuestos!$B$45</f>
        <v>237.934173648955</v>
      </c>
      <c r="S23" s="6" t="n">
        <f aca="false">SUMPRODUCT(S17:S22,Plan_Supuestos!$D$30:$D$35)+(Plan_Supuestos!$B$43+(Plan_Supuestos!$B$44-Plan_Supuestos!$B$43)*S16)*Plan_Supuestos!$B$45</f>
        <v>237.934173648955</v>
      </c>
      <c r="T23" s="6" t="n">
        <f aca="false">SUMPRODUCT(T17:T22,Plan_Supuestos!$D$30:$D$35)+(Plan_Supuestos!$B$43+(Plan_Supuestos!$B$44-Plan_Supuestos!$B$43)*T16)*Plan_Supuestos!$B$45</f>
        <v>237.934173648955</v>
      </c>
      <c r="U23" s="6" t="n">
        <f aca="false">SUMPRODUCT(U17:U22,Plan_Supuestos!$D$30:$D$35)+(Plan_Supuestos!$B$43+(Plan_Supuestos!$B$44-Plan_Supuestos!$B$43)*U16)*Plan_Supuestos!$B$45</f>
        <v>237.934173648955</v>
      </c>
      <c r="V23" s="6" t="n">
        <f aca="false">SUMPRODUCT(V17:V22,Plan_Supuestos!$D$30:$D$35)+(Plan_Supuestos!$B$43+(Plan_Supuestos!$B$44-Plan_Supuestos!$B$43)*V16)*Plan_Supuestos!$B$45</f>
        <v>237.934173648955</v>
      </c>
      <c r="W23" s="6" t="n">
        <f aca="false">SUMPRODUCT(W17:W22,Plan_Supuestos!$D$30:$D$35)+(Plan_Supuestos!$B$43+(Plan_Supuestos!$B$44-Plan_Supuestos!$B$43)*W16)*Plan_Supuestos!$B$45</f>
        <v>237.934173648955</v>
      </c>
      <c r="X23" s="6" t="n">
        <f aca="false">SUMPRODUCT(X17:X22,Plan_Supuestos!$D$30:$D$35)+(Plan_Supuestos!$B$43+(Plan_Supuestos!$B$44-Plan_Supuestos!$B$43)*X16)*Plan_Supuestos!$B$45</f>
        <v>237.934173648955</v>
      </c>
      <c r="Y23" s="6" t="n">
        <f aca="false">SUMPRODUCT(Y17:Y22,Plan_Supuestos!$D$30:$D$35)+(Plan_Supuestos!$B$43+(Plan_Supuestos!$B$44-Plan_Supuestos!$B$43)*Y16)*Plan_Supuestos!$B$45</f>
        <v>237.934173648955</v>
      </c>
    </row>
    <row r="24" customFormat="false" ht="15" hidden="false" customHeight="false" outlineLevel="0" collapsed="false">
      <c r="A24" s="4" t="s">
        <v>167</v>
      </c>
      <c r="B24" s="6" t="n">
        <f aca="false">Plan_Supuestos!$C$26*MIN(1,B$4/6)*Plan_Supuestos!$B$8*SUMPRODUCT(B17:B22,Plan_Supuestos!$E$30:$E$35)</f>
        <v>1.57284698942137</v>
      </c>
      <c r="C24" s="6" t="n">
        <f aca="false">Plan_Supuestos!$C$26*MIN(1,C$4/6)*Plan_Supuestos!$B$8*SUMPRODUCT(C17:C22,Plan_Supuestos!$E$30:$E$35)</f>
        <v>3.18760698952826</v>
      </c>
      <c r="D24" s="6" t="n">
        <f aca="false">Plan_Supuestos!$C$26*MIN(1,D$4/6)*Plan_Supuestos!$B$8*SUMPRODUCT(D17:D22,Plan_Supuestos!$E$30:$E$35)</f>
        <v>4.84428000032068</v>
      </c>
      <c r="E24" s="6" t="n">
        <f aca="false">Plan_Supuestos!$C$26*MIN(1,E$4/6)*Plan_Supuestos!$B$8*SUMPRODUCT(E17:E22,Plan_Supuestos!$E$30:$E$35)</f>
        <v>6.54286602179862</v>
      </c>
      <c r="F24" s="6" t="n">
        <f aca="false">Plan_Supuestos!$C$26*MIN(1,F$4/6)*Plan_Supuestos!$B$8*SUMPRODUCT(F17:F22,Plan_Supuestos!$E$30:$E$35)</f>
        <v>8.28336505396209</v>
      </c>
      <c r="G24" s="6" t="n">
        <f aca="false">Plan_Supuestos!$C$26*MIN(1,G$4/6)*Plan_Supuestos!$B$8*SUMPRODUCT(G17:G22,Plan_Supuestos!$E$30:$E$35)</f>
        <v>10.0657770968111</v>
      </c>
      <c r="H24" s="6" t="n">
        <f aca="false">Plan_Supuestos!$C$26*MIN(1,H$4/6)*Plan_Supuestos!$B$8*SUMPRODUCT(H17:H22,Plan_Supuestos!$E$30:$E$35)</f>
        <v>10.1915161288676</v>
      </c>
      <c r="I24" s="6" t="n">
        <f aca="false">Plan_Supuestos!$C$26*MIN(1,I$4/6)*Plan_Supuestos!$B$8*SUMPRODUCT(I17:I22,Plan_Supuestos!$E$30:$E$35)</f>
        <v>10.3172551609242</v>
      </c>
      <c r="J24" s="6" t="n">
        <f aca="false">Plan_Supuestos!$C$26*MIN(1,J$4/6)*Plan_Supuestos!$B$8*SUMPRODUCT(J17:J22,Plan_Supuestos!$E$30:$E$35)</f>
        <v>10.4429941929808</v>
      </c>
      <c r="K24" s="6" t="n">
        <f aca="false">Plan_Supuestos!$C$26*MIN(1,K$4/6)*Plan_Supuestos!$B$8*SUMPRODUCT(K17:K22,Plan_Supuestos!$E$30:$E$35)</f>
        <v>10.5687332250374</v>
      </c>
      <c r="L24" s="6" t="n">
        <f aca="false">Plan_Supuestos!$C$26*MIN(1,L$4/6)*Plan_Supuestos!$B$8*SUMPRODUCT(L17:L22,Plan_Supuestos!$E$30:$E$35)</f>
        <v>10.6944722570939</v>
      </c>
      <c r="M24" s="6" t="n">
        <f aca="false">Plan_Supuestos!$C$26*MIN(1,M$4/6)*Plan_Supuestos!$B$8*SUMPRODUCT(M17:M22,Plan_Supuestos!$E$30:$E$35)</f>
        <v>10.8202112891505</v>
      </c>
      <c r="N24" s="6" t="n">
        <f aca="false">Plan_Supuestos!$C$26*MIN(1,N$4/6)*Plan_Supuestos!$B$8*SUMPRODUCT(N17:N22,Plan_Supuestos!$E$30:$E$35)</f>
        <v>10.8202112891505</v>
      </c>
      <c r="O24" s="6" t="n">
        <f aca="false">Plan_Supuestos!$C$26*MIN(1,O$4/6)*Plan_Supuestos!$B$8*SUMPRODUCT(O17:O22,Plan_Supuestos!$E$30:$E$35)</f>
        <v>10.8202112891505</v>
      </c>
      <c r="P24" s="6" t="n">
        <f aca="false">Plan_Supuestos!$C$26*MIN(1,P$4/6)*Plan_Supuestos!$B$8*SUMPRODUCT(P17:P22,Plan_Supuestos!$E$30:$E$35)</f>
        <v>10.8202112891505</v>
      </c>
      <c r="Q24" s="6" t="n">
        <f aca="false">Plan_Supuestos!$C$26*MIN(1,Q$4/6)*Plan_Supuestos!$B$8*SUMPRODUCT(Q17:Q22,Plan_Supuestos!$E$30:$E$35)</f>
        <v>10.8202112891505</v>
      </c>
      <c r="R24" s="6" t="n">
        <f aca="false">Plan_Supuestos!$C$26*MIN(1,R$4/6)*Plan_Supuestos!$B$8*SUMPRODUCT(R17:R22,Plan_Supuestos!$E$30:$E$35)</f>
        <v>10.8202112891505</v>
      </c>
      <c r="S24" s="6" t="n">
        <f aca="false">Plan_Supuestos!$C$26*MIN(1,S$4/6)*Plan_Supuestos!$B$8*SUMPRODUCT(S17:S22,Plan_Supuestos!$E$30:$E$35)</f>
        <v>10.8202112891505</v>
      </c>
      <c r="T24" s="6" t="n">
        <f aca="false">Plan_Supuestos!$C$26*MIN(1,T$4/6)*Plan_Supuestos!$B$8*SUMPRODUCT(T17:T22,Plan_Supuestos!$E$30:$E$35)</f>
        <v>10.8202112891505</v>
      </c>
      <c r="U24" s="6" t="n">
        <f aca="false">Plan_Supuestos!$C$26*MIN(1,U$4/6)*Plan_Supuestos!$B$8*SUMPRODUCT(U17:U22,Plan_Supuestos!$E$30:$E$35)</f>
        <v>10.8202112891505</v>
      </c>
      <c r="V24" s="6" t="n">
        <f aca="false">Plan_Supuestos!$C$26*MIN(1,V$4/6)*Plan_Supuestos!$B$8*SUMPRODUCT(V17:V22,Plan_Supuestos!$E$30:$E$35)</f>
        <v>10.8202112891505</v>
      </c>
      <c r="W24" s="6" t="n">
        <f aca="false">Plan_Supuestos!$C$26*MIN(1,W$4/6)*Plan_Supuestos!$B$8*SUMPRODUCT(W17:W22,Plan_Supuestos!$E$30:$E$35)</f>
        <v>10.8202112891505</v>
      </c>
      <c r="X24" s="6" t="n">
        <f aca="false">Plan_Supuestos!$C$26*MIN(1,X$4/6)*Plan_Supuestos!$B$8*SUMPRODUCT(X17:X22,Plan_Supuestos!$E$30:$E$35)</f>
        <v>10.8202112891505</v>
      </c>
      <c r="Y24" s="6" t="n">
        <f aca="false">Plan_Supuestos!$C$26*MIN(1,Y$4/6)*Plan_Supuestos!$B$8*SUMPRODUCT(Y17:Y22,Plan_Supuestos!$E$30:$E$35)</f>
        <v>10.8202112891505</v>
      </c>
    </row>
    <row r="25" customFormat="false" ht="15" hidden="false" customHeight="false" outlineLevel="0" collapsed="false">
      <c r="A25" s="4" t="s">
        <v>168</v>
      </c>
      <c r="B25" s="5" t="n">
        <f aca="false">B12*(B23+B24)</f>
        <v>33690.6464019241</v>
      </c>
      <c r="C25" s="5" t="n">
        <f aca="false">C12*(C23+C24)</f>
        <v>37762.3160505801</v>
      </c>
      <c r="D25" s="5" t="n">
        <f aca="false">D12*(D23+D24)</f>
        <v>42317.7499494807</v>
      </c>
      <c r="E25" s="5" t="n">
        <f aca="false">E12*(E23+E24)</f>
        <v>47413.9486155562</v>
      </c>
      <c r="F25" s="5" t="n">
        <f aca="false">F12*(F23+F24)</f>
        <v>53114.6197661788</v>
      </c>
      <c r="G25" s="5" t="n">
        <f aca="false">G12*(G23+G24)</f>
        <v>59490.9714055861</v>
      </c>
      <c r="H25" s="5" t="n">
        <f aca="false">H12*(H23+H24)</f>
        <v>66139.5011804832</v>
      </c>
      <c r="I25" s="5" t="n">
        <f aca="false">I12*(I23+I24)</f>
        <v>73526.07503954</v>
      </c>
      <c r="J25" s="5" t="n">
        <f aca="false">J12*(J23+J24)</f>
        <v>81732.6892229764</v>
      </c>
      <c r="K25" s="5" t="n">
        <f aca="false">K12*(K23+K24)</f>
        <v>90850.5159539806</v>
      </c>
      <c r="L25" s="5" t="n">
        <f aca="false">L12*(L23+L24)</f>
        <v>100980.944109676</v>
      </c>
      <c r="M25" s="5" t="n">
        <f aca="false">M12*(M23+M24)</f>
        <v>112236.740259031</v>
      </c>
      <c r="N25" s="5" t="n">
        <f aca="false">N12*(N23+N24)</f>
        <v>123582.192622508</v>
      </c>
      <c r="O25" s="5" t="n">
        <f aca="false">O12*(O23+O24)</f>
        <v>136092.074060386</v>
      </c>
      <c r="P25" s="5" t="n">
        <f aca="false">P12*(P23+P24)</f>
        <v>149888.098875257</v>
      </c>
      <c r="Q25" s="5" t="n">
        <f aca="false">Q12*(Q23+Q24)</f>
        <v>165104.987913635</v>
      </c>
      <c r="R25" s="5" t="n">
        <f aca="false">R12*(R23+R24)</f>
        <v>181891.896179458</v>
      </c>
      <c r="S25" s="5" t="n">
        <f aca="false">S12*(S23+S24)</f>
        <v>200414.002313487</v>
      </c>
      <c r="T25" s="5" t="n">
        <f aca="false">T12*(T23+T24)</f>
        <v>220854.279024257</v>
      </c>
      <c r="U25" s="5" t="n">
        <f aca="false">U12*(U23+U24)</f>
        <v>243415.465914319</v>
      </c>
      <c r="V25" s="5" t="n">
        <f aca="false">V12*(V23+V24)</f>
        <v>268322.268811394</v>
      </c>
      <c r="W25" s="5" t="n">
        <f aca="false">W12*(W23+W24)</f>
        <v>292126.015071368</v>
      </c>
      <c r="X25" s="5" t="n">
        <f aca="false">X12*(X23+X24)</f>
        <v>318041.469534016</v>
      </c>
      <c r="Y25" s="5" t="n">
        <f aca="false">Y12*(Y23+Y24)</f>
        <v>346255.968742273</v>
      </c>
    </row>
    <row r="26" customFormat="false" ht="15" hidden="false" customHeight="false" outlineLevel="0" collapsed="false">
      <c r="A26" s="4" t="s">
        <v>169</v>
      </c>
      <c r="B26" s="5" t="n">
        <f aca="false">B14*Plan_Supuestos!$D$36</f>
        <v>881.497148773584</v>
      </c>
      <c r="C26" s="5" t="n">
        <f aca="false">C14*Plan_Supuestos!$D$36</f>
        <v>881.497148773584</v>
      </c>
      <c r="D26" s="5" t="n">
        <f aca="false">D14*Plan_Supuestos!$D$36</f>
        <v>881.497148773584</v>
      </c>
      <c r="E26" s="5" t="n">
        <f aca="false">E14*Plan_Supuestos!$D$36</f>
        <v>881.497148773584</v>
      </c>
      <c r="F26" s="5" t="n">
        <f aca="false">F14*Plan_Supuestos!$D$36</f>
        <v>881.497148773584</v>
      </c>
      <c r="G26" s="5" t="n">
        <f aca="false">G14*Plan_Supuestos!$D$36</f>
        <v>881.497148773584</v>
      </c>
      <c r="H26" s="5" t="n">
        <f aca="false">H14*Plan_Supuestos!$D$36</f>
        <v>881.497148773584</v>
      </c>
      <c r="I26" s="5" t="n">
        <f aca="false">I14*Plan_Supuestos!$D$36</f>
        <v>881.497148773584</v>
      </c>
      <c r="J26" s="5" t="n">
        <f aca="false">J14*Plan_Supuestos!$D$36</f>
        <v>881.497148773584</v>
      </c>
      <c r="K26" s="5" t="n">
        <f aca="false">K14*Plan_Supuestos!$D$36</f>
        <v>881.497148773584</v>
      </c>
      <c r="L26" s="5" t="n">
        <f aca="false">L14*Plan_Supuestos!$D$36</f>
        <v>881.497148773584</v>
      </c>
      <c r="M26" s="5" t="n">
        <f aca="false">M14*Plan_Supuestos!$D$36</f>
        <v>881.497148773584</v>
      </c>
      <c r="N26" s="5" t="n">
        <f aca="false">N14*Plan_Supuestos!$D$36</f>
        <v>2411.70909061766</v>
      </c>
      <c r="O26" s="5" t="n">
        <f aca="false">O14*Plan_Supuestos!$D$36</f>
        <v>2642.27606902908</v>
      </c>
      <c r="P26" s="5" t="n">
        <f aca="false">P14*Plan_Supuestos!$D$36</f>
        <v>2895.22175792963</v>
      </c>
      <c r="Q26" s="5" t="n">
        <f aca="false">Q14*Plan_Supuestos!$D$36</f>
        <v>3172.75627619861</v>
      </c>
      <c r="R26" s="5" t="n">
        <f aca="false">R14*Plan_Supuestos!$D$36</f>
        <v>3477.31247155271</v>
      </c>
      <c r="S26" s="5" t="n">
        <f aca="false">S14*Plan_Supuestos!$D$36</f>
        <v>3811.56890651143</v>
      </c>
      <c r="T26" s="5" t="n">
        <f aca="false">T14*Plan_Supuestos!$D$36</f>
        <v>4178.47528425954</v>
      </c>
      <c r="U26" s="5" t="n">
        <f aca="false">U14*Plan_Supuestos!$D$36</f>
        <v>4581.28058218759</v>
      </c>
      <c r="V26" s="5" t="n">
        <f aca="false">V14*Plan_Supuestos!$D$36</f>
        <v>5023.56419146361</v>
      </c>
      <c r="W26" s="5" t="n">
        <f aca="false">W14*Plan_Supuestos!$D$36</f>
        <v>5509.27039521757</v>
      </c>
      <c r="X26" s="5" t="n">
        <f aca="false">X14*Plan_Supuestos!$D$36</f>
        <v>6042.74655626552</v>
      </c>
      <c r="Y26" s="5" t="n">
        <f aca="false">Y14*Plan_Supuestos!$D$36</f>
        <v>6628.78542828464</v>
      </c>
    </row>
    <row r="27" customFormat="false" ht="15" hidden="false" customHeight="false" outlineLevel="0" collapsed="false">
      <c r="A27" s="4" t="s">
        <v>170</v>
      </c>
      <c r="B27" s="5" t="n">
        <f aca="false">-B7</f>
        <v>-9000</v>
      </c>
      <c r="C27" s="5" t="n">
        <f aca="false">-C7</f>
        <v>-10080</v>
      </c>
      <c r="D27" s="5" t="n">
        <f aca="false">-D7</f>
        <v>-11289.6</v>
      </c>
      <c r="E27" s="5" t="n">
        <f aca="false">-E7</f>
        <v>-12644.352</v>
      </c>
      <c r="F27" s="5" t="n">
        <f aca="false">-F7</f>
        <v>-14161.67424</v>
      </c>
      <c r="G27" s="5" t="n">
        <f aca="false">-G7</f>
        <v>-15861.0751488</v>
      </c>
      <c r="H27" s="5" t="n">
        <f aca="false">-H7</f>
        <v>-17764.404166656</v>
      </c>
      <c r="I27" s="5" t="n">
        <f aca="false">-I7</f>
        <v>-19896.1326666547</v>
      </c>
      <c r="J27" s="5" t="n">
        <f aca="false">-J7</f>
        <v>-22283.6685866533</v>
      </c>
      <c r="K27" s="5" t="n">
        <f aca="false">-K7</f>
        <v>-24957.7088170517</v>
      </c>
      <c r="L27" s="5" t="n">
        <f aca="false">-L7</f>
        <v>-27952.6338750979</v>
      </c>
      <c r="M27" s="5" t="n">
        <f aca="false">-M7</f>
        <v>-31306.9499401097</v>
      </c>
      <c r="N27" s="5" t="n">
        <f aca="false">-N7</f>
        <v>-35063.7839329228</v>
      </c>
      <c r="O27" s="5" t="n">
        <f aca="false">-O7</f>
        <v>-39271.4380048736</v>
      </c>
      <c r="P27" s="5" t="n">
        <f aca="false">-P7</f>
        <v>-43984.0105654584</v>
      </c>
      <c r="Q27" s="5" t="n">
        <f aca="false">-Q7</f>
        <v>-49262.0918333134</v>
      </c>
      <c r="R27" s="5" t="n">
        <f aca="false">-R7</f>
        <v>-55173.542853311</v>
      </c>
      <c r="S27" s="5" t="n">
        <f aca="false">-S7</f>
        <v>-61794.3679957084</v>
      </c>
      <c r="T27" s="5" t="n">
        <f aca="false">-T7</f>
        <v>-69209.6921551934</v>
      </c>
      <c r="U27" s="5" t="n">
        <f aca="false">-U7</f>
        <v>-77514.8552138166</v>
      </c>
      <c r="V27" s="5" t="n">
        <f aca="false">-V7</f>
        <v>-86816.6378394746</v>
      </c>
      <c r="W27" s="5" t="n">
        <f aca="false">-W7</f>
        <v>-97234.6343802115</v>
      </c>
      <c r="X27" s="5" t="n">
        <f aca="false">-X7</f>
        <v>-108902.790505837</v>
      </c>
      <c r="Y27" s="5" t="n">
        <f aca="false">-Y7</f>
        <v>-121971.125366537</v>
      </c>
    </row>
    <row r="28" customFormat="false" ht="15" hidden="false" customHeight="false" outlineLevel="0" collapsed="false">
      <c r="A28" s="4" t="s">
        <v>171</v>
      </c>
      <c r="B28" s="5" t="n">
        <f aca="false">B25+B26+B27</f>
        <v>25572.1435506977</v>
      </c>
      <c r="C28" s="5" t="n">
        <f aca="false">C25+C26+C27</f>
        <v>28563.8131993536</v>
      </c>
      <c r="D28" s="5" t="n">
        <f aca="false">D25+D26+D27</f>
        <v>31909.6470982543</v>
      </c>
      <c r="E28" s="5" t="n">
        <f aca="false">E25+E26+E27</f>
        <v>35651.0937643298</v>
      </c>
      <c r="F28" s="5" t="n">
        <f aca="false">F25+F26+F27</f>
        <v>39834.4426749524</v>
      </c>
      <c r="G28" s="5" t="n">
        <f aca="false">G25+G26+G27</f>
        <v>44511.3934055597</v>
      </c>
      <c r="H28" s="5" t="n">
        <f aca="false">H25+H26+H27</f>
        <v>49256.5941626008</v>
      </c>
      <c r="I28" s="5" t="n">
        <f aca="false">I25+I26+I27</f>
        <v>54511.4395216588</v>
      </c>
      <c r="J28" s="5" t="n">
        <f aca="false">J25+J26+J27</f>
        <v>60330.5177850966</v>
      </c>
      <c r="K28" s="5" t="n">
        <f aca="false">K25+K26+K27</f>
        <v>66774.3042857025</v>
      </c>
      <c r="L28" s="5" t="n">
        <f aca="false">L25+L26+L27</f>
        <v>73909.8073833521</v>
      </c>
      <c r="M28" s="5" t="n">
        <f aca="false">M25+M26+M27</f>
        <v>81811.2874676951</v>
      </c>
      <c r="N28" s="5" t="n">
        <f aca="false">N25+N26+N27</f>
        <v>90930.117780203</v>
      </c>
      <c r="O28" s="5" t="n">
        <f aca="false">O25+O26+O27</f>
        <v>99462.9121245416</v>
      </c>
      <c r="P28" s="5" t="n">
        <f aca="false">P25+P26+P27</f>
        <v>108799.310067728</v>
      </c>
      <c r="Q28" s="5" t="n">
        <f aca="false">Q25+Q26+Q27</f>
        <v>119015.65235652</v>
      </c>
      <c r="R28" s="5" t="n">
        <f aca="false">R25+R26+R27</f>
        <v>130195.665797699</v>
      </c>
      <c r="S28" s="5" t="n">
        <f aca="false">S25+S26+S27</f>
        <v>142431.20322429</v>
      </c>
      <c r="T28" s="5" t="n">
        <f aca="false">T25+T26+T27</f>
        <v>155823.062153323</v>
      </c>
      <c r="U28" s="5" t="n">
        <f aca="false">U25+U26+U27</f>
        <v>170481.89128269</v>
      </c>
      <c r="V28" s="5" t="n">
        <f aca="false">V25+V26+V27</f>
        <v>186529.195163383</v>
      </c>
      <c r="W28" s="5" t="n">
        <f aca="false">W25+W26+W27</f>
        <v>200400.651086374</v>
      </c>
      <c r="X28" s="5" t="n">
        <f aca="false">X25+X26+X27</f>
        <v>215181.425584445</v>
      </c>
      <c r="Y28" s="5" t="n">
        <f aca="false">Y25+Y26+Y27</f>
        <v>230913.62880402</v>
      </c>
    </row>
    <row r="29" customFormat="false" ht="15" hidden="false" customHeight="false" outlineLevel="0" collapsed="false">
      <c r="A29" s="4" t="s">
        <v>172</v>
      </c>
      <c r="B29" s="5" t="n">
        <f aca="false">-(Plan_Supuestos!$B$9+Plan_Supuestos!$B$10*B15)</f>
        <v>-16370.8434575734</v>
      </c>
      <c r="C29" s="5" t="n">
        <f aca="false">-(Plan_Supuestos!$B$9+Plan_Supuestos!$B$10*C15)</f>
        <v>-16496.3936647311</v>
      </c>
      <c r="D29" s="5" t="n">
        <f aca="false">-(Plan_Supuestos!$B$9+Plan_Supuestos!$B$10*D15)</f>
        <v>-16634.1297094151</v>
      </c>
      <c r="E29" s="5" t="n">
        <f aca="false">-(Plan_Supuestos!$B$9+Plan_Supuestos!$B$10*E15)</f>
        <v>-16785.2550635407</v>
      </c>
      <c r="F29" s="5" t="n">
        <f aca="false">-(Plan_Supuestos!$B$9+Plan_Supuestos!$B$10*F15)</f>
        <v>-16951.0944811421</v>
      </c>
      <c r="G29" s="5" t="n">
        <f aca="false">-(Plan_Supuestos!$B$9+Plan_Supuestos!$B$10*G15)</f>
        <v>-17133.1065148775</v>
      </c>
      <c r="H29" s="5" t="n">
        <f aca="false">-(Plan_Supuestos!$B$9+Plan_Supuestos!$B$10*H15)</f>
        <v>-17332.8973611259</v>
      </c>
      <c r="I29" s="5" t="n">
        <f aca="false">-(Plan_Supuestos!$B$9+Plan_Supuestos!$B$10*I15)</f>
        <v>-17552.2361794925</v>
      </c>
      <c r="J29" s="5" t="n">
        <f aca="false">-(Plan_Supuestos!$B$9+Plan_Supuestos!$B$10*J15)</f>
        <v>-17793.0720491806</v>
      </c>
      <c r="K29" s="5" t="n">
        <f aca="false">-(Plan_Supuestos!$B$9+Plan_Supuestos!$B$10*K15)</f>
        <v>-18057.552743334</v>
      </c>
      <c r="L29" s="5" t="n">
        <f aca="false">-(Plan_Supuestos!$B$9+Plan_Supuestos!$B$10*L15)</f>
        <v>-18348.0455233269</v>
      </c>
      <c r="M29" s="5" t="n">
        <f aca="false">-(Plan_Supuestos!$B$9+Plan_Supuestos!$B$10*M15)</f>
        <v>-18667.1601783891</v>
      </c>
      <c r="N29" s="5" t="n">
        <f aca="false">-(Plan_Supuestos!$B$9+Plan_Supuestos!$B$10*N15)</f>
        <v>-19132.0218313471</v>
      </c>
      <c r="O29" s="5" t="n">
        <f aca="false">-(Plan_Supuestos!$B$9+Plan_Supuestos!$B$10*O15)</f>
        <v>-19549.4086093776</v>
      </c>
      <c r="P29" s="5" t="n">
        <f aca="false">-(Plan_Supuestos!$B$9+Plan_Supuestos!$B$10*P15)</f>
        <v>-20009.6203638637</v>
      </c>
      <c r="Q29" s="5" t="n">
        <f aca="false">-(Plan_Supuestos!$B$9+Plan_Supuestos!$B$10*Q15)</f>
        <v>-20517.1341658018</v>
      </c>
      <c r="R29" s="5" t="n">
        <f aca="false">-(Plan_Supuestos!$B$9+Plan_Supuestos!$B$10*R15)</f>
        <v>-21076.9058459678</v>
      </c>
      <c r="S29" s="5" t="n">
        <f aca="false">-(Plan_Supuestos!$B$9+Plan_Supuestos!$B$10*S15)</f>
        <v>-21694.4226149318</v>
      </c>
      <c r="T29" s="5" t="n">
        <f aca="false">-(Plan_Supuestos!$B$9+Plan_Supuestos!$B$10*T15)</f>
        <v>-22375.7616619492</v>
      </c>
      <c r="U29" s="5" t="n">
        <f aca="false">-(Plan_Supuestos!$B$9+Plan_Supuestos!$B$10*U15)</f>
        <v>-23127.6554398608</v>
      </c>
      <c r="V29" s="5" t="n">
        <f aca="false">-(Plan_Supuestos!$B$9+Plan_Supuestos!$B$10*V15)</f>
        <v>-23957.564430869</v>
      </c>
      <c r="W29" s="5" t="n">
        <f aca="false">-(Plan_Supuestos!$B$9+Plan_Supuestos!$B$10*W15)</f>
        <v>-24754.8362378259</v>
      </c>
      <c r="X29" s="5" t="n">
        <f aca="false">-(Plan_Supuestos!$B$9+Plan_Supuestos!$B$10*X15)</f>
        <v>-25623.1425315736</v>
      </c>
      <c r="Y29" s="5" t="n">
        <f aca="false">-(Plan_Supuestos!$B$9+Plan_Supuestos!$B$10*Y15)</f>
        <v>-26568.8212744587</v>
      </c>
    </row>
    <row r="30" customFormat="false" ht="15" hidden="false" customHeight="false" outlineLevel="0" collapsed="false">
      <c r="A30" s="4" t="s">
        <v>173</v>
      </c>
      <c r="B30" s="5" t="n">
        <f aca="false">B28+B29</f>
        <v>9201.30009312431</v>
      </c>
      <c r="C30" s="5" t="n">
        <f aca="false">C28+C29</f>
        <v>12067.4195346225</v>
      </c>
      <c r="D30" s="5" t="n">
        <f aca="false">D28+D29</f>
        <v>15275.5173888392</v>
      </c>
      <c r="E30" s="5" t="n">
        <f aca="false">E28+E29</f>
        <v>18865.8387007891</v>
      </c>
      <c r="F30" s="5" t="n">
        <f aca="false">F28+F29</f>
        <v>22883.3481938103</v>
      </c>
      <c r="G30" s="5" t="n">
        <f aca="false">G28+G29</f>
        <v>27378.2868906823</v>
      </c>
      <c r="H30" s="5" t="n">
        <f aca="false">H28+H29</f>
        <v>31923.6968014748</v>
      </c>
      <c r="I30" s="5" t="n">
        <f aca="false">I28+I29</f>
        <v>36959.2033421664</v>
      </c>
      <c r="J30" s="5" t="n">
        <f aca="false">J28+J29</f>
        <v>42537.445735916</v>
      </c>
      <c r="K30" s="5" t="n">
        <f aca="false">K28+K29</f>
        <v>48716.7515423685</v>
      </c>
      <c r="L30" s="5" t="n">
        <f aca="false">L28+L29</f>
        <v>55561.7618600252</v>
      </c>
      <c r="M30" s="5" t="n">
        <f aca="false">M28+M29</f>
        <v>63144.127289306</v>
      </c>
      <c r="N30" s="5" t="n">
        <f aca="false">N28+N29</f>
        <v>71798.0959488558</v>
      </c>
      <c r="O30" s="5" t="n">
        <f aca="false">O28+O29</f>
        <v>79913.503515164</v>
      </c>
      <c r="P30" s="5" t="n">
        <f aca="false">P28+P29</f>
        <v>88789.6897038644</v>
      </c>
      <c r="Q30" s="5" t="n">
        <f aca="false">Q28+Q29</f>
        <v>98498.5181907184</v>
      </c>
      <c r="R30" s="5" t="n">
        <f aca="false">R28+R29</f>
        <v>109118.759951732</v>
      </c>
      <c r="S30" s="5" t="n">
        <f aca="false">S28+S29</f>
        <v>120736.780609358</v>
      </c>
      <c r="T30" s="5" t="n">
        <f aca="false">T28+T29</f>
        <v>133447.300491374</v>
      </c>
      <c r="U30" s="5" t="n">
        <f aca="false">U28+U29</f>
        <v>147354.235842829</v>
      </c>
      <c r="V30" s="5" t="n">
        <f aca="false">V28+V29</f>
        <v>162571.630732514</v>
      </c>
      <c r="W30" s="5" t="n">
        <f aca="false">W28+W29</f>
        <v>175645.814848548</v>
      </c>
      <c r="X30" s="5" t="n">
        <f aca="false">X28+X29</f>
        <v>189558.283052871</v>
      </c>
      <c r="Y30" s="5" t="n">
        <f aca="false">Y28+Y29</f>
        <v>204344.807529562</v>
      </c>
    </row>
    <row r="31" customFormat="false" ht="15" hidden="false" customHeight="false" outlineLevel="0" collapsed="false">
      <c r="A31" s="4" t="s">
        <v>174</v>
      </c>
      <c r="B31" s="5" t="n">
        <f aca="false">-MAX(0,B30)*Plan_Supuestos!$B$12</f>
        <v>-0</v>
      </c>
      <c r="C31" s="5" t="n">
        <f aca="false">-MAX(0,C30)*Plan_Supuestos!$B$12</f>
        <v>-0</v>
      </c>
      <c r="D31" s="5" t="n">
        <f aca="false">-MAX(0,D30)*Plan_Supuestos!$B$12</f>
        <v>-0</v>
      </c>
      <c r="E31" s="5" t="n">
        <f aca="false">-MAX(0,E30)*Plan_Supuestos!$B$12</f>
        <v>-0</v>
      </c>
      <c r="F31" s="5" t="n">
        <f aca="false">-MAX(0,F30)*Plan_Supuestos!$B$12</f>
        <v>-0</v>
      </c>
      <c r="G31" s="5" t="n">
        <f aca="false">-MAX(0,G30)*Plan_Supuestos!$B$12</f>
        <v>-0</v>
      </c>
      <c r="H31" s="5" t="n">
        <f aca="false">-MAX(0,H30)*Plan_Supuestos!$B$12</f>
        <v>-0</v>
      </c>
      <c r="I31" s="5" t="n">
        <f aca="false">-MAX(0,I30)*Plan_Supuestos!$B$12</f>
        <v>-0</v>
      </c>
      <c r="J31" s="5" t="n">
        <f aca="false">-MAX(0,J30)*Plan_Supuestos!$B$12</f>
        <v>-0</v>
      </c>
      <c r="K31" s="5" t="n">
        <f aca="false">-MAX(0,K30)*Plan_Supuestos!$B$12</f>
        <v>-0</v>
      </c>
      <c r="L31" s="5" t="n">
        <f aca="false">-MAX(0,L30)*Plan_Supuestos!$B$12</f>
        <v>-0</v>
      </c>
      <c r="M31" s="5" t="n">
        <f aca="false">-MAX(0,M30)*Plan_Supuestos!$B$12</f>
        <v>-0</v>
      </c>
      <c r="N31" s="5" t="n">
        <f aca="false">-MAX(0,N30)*Plan_Supuestos!$B$12</f>
        <v>-0</v>
      </c>
      <c r="O31" s="5" t="n">
        <f aca="false">-MAX(0,O30)*Plan_Supuestos!$B$12</f>
        <v>-0</v>
      </c>
      <c r="P31" s="5" t="n">
        <f aca="false">-MAX(0,P30)*Plan_Supuestos!$B$12</f>
        <v>-0</v>
      </c>
      <c r="Q31" s="5" t="n">
        <f aca="false">-MAX(0,Q30)*Plan_Supuestos!$B$12</f>
        <v>-0</v>
      </c>
      <c r="R31" s="5" t="n">
        <f aca="false">-MAX(0,R30)*Plan_Supuestos!$B$12</f>
        <v>-0</v>
      </c>
      <c r="S31" s="5" t="n">
        <f aca="false">-MAX(0,S30)*Plan_Supuestos!$B$12</f>
        <v>-0</v>
      </c>
      <c r="T31" s="5" t="n">
        <f aca="false">-MAX(0,T30)*Plan_Supuestos!$B$12</f>
        <v>-0</v>
      </c>
      <c r="U31" s="5" t="n">
        <f aca="false">-MAX(0,U30)*Plan_Supuestos!$B$12</f>
        <v>-0</v>
      </c>
      <c r="V31" s="5" t="n">
        <f aca="false">-MAX(0,V30)*Plan_Supuestos!$B$12</f>
        <v>-0</v>
      </c>
      <c r="W31" s="5" t="n">
        <f aca="false">-MAX(0,W30)*Plan_Supuestos!$B$12</f>
        <v>-0</v>
      </c>
      <c r="X31" s="5" t="n">
        <f aca="false">-MAX(0,X30)*Plan_Supuestos!$B$12</f>
        <v>-0</v>
      </c>
      <c r="Y31" s="5" t="n">
        <f aca="false">-MAX(0,Y30)*Plan_Supuestos!$B$12</f>
        <v>-0</v>
      </c>
    </row>
    <row r="32" customFormat="false" ht="15" hidden="false" customHeight="false" outlineLevel="0" collapsed="false">
      <c r="A32" s="8" t="s">
        <v>175</v>
      </c>
      <c r="B32" s="9" t="n">
        <f aca="false">B30+B31</f>
        <v>9201.30009312431</v>
      </c>
      <c r="C32" s="9" t="n">
        <f aca="false">C30+C31</f>
        <v>12067.4195346225</v>
      </c>
      <c r="D32" s="9" t="n">
        <f aca="false">D30+D31</f>
        <v>15275.5173888392</v>
      </c>
      <c r="E32" s="9" t="n">
        <f aca="false">E30+E31</f>
        <v>18865.8387007891</v>
      </c>
      <c r="F32" s="9" t="n">
        <f aca="false">F30+F31</f>
        <v>22883.3481938103</v>
      </c>
      <c r="G32" s="9" t="n">
        <f aca="false">G30+G31</f>
        <v>27378.2868906823</v>
      </c>
      <c r="H32" s="9" t="n">
        <f aca="false">H30+H31</f>
        <v>31923.6968014748</v>
      </c>
      <c r="I32" s="9" t="n">
        <f aca="false">I30+I31</f>
        <v>36959.2033421664</v>
      </c>
      <c r="J32" s="9" t="n">
        <f aca="false">J30+J31</f>
        <v>42537.445735916</v>
      </c>
      <c r="K32" s="9" t="n">
        <f aca="false">K30+K31</f>
        <v>48716.7515423685</v>
      </c>
      <c r="L32" s="9" t="n">
        <f aca="false">L30+L31</f>
        <v>55561.7618600252</v>
      </c>
      <c r="M32" s="9" t="n">
        <f aca="false">M30+M31</f>
        <v>63144.127289306</v>
      </c>
      <c r="N32" s="9" t="n">
        <f aca="false">N30+N31</f>
        <v>71798.0959488558</v>
      </c>
      <c r="O32" s="9" t="n">
        <f aca="false">O30+O31</f>
        <v>79913.503515164</v>
      </c>
      <c r="P32" s="9" t="n">
        <f aca="false">P30+P31</f>
        <v>88789.6897038644</v>
      </c>
      <c r="Q32" s="9" t="n">
        <f aca="false">Q30+Q31</f>
        <v>98498.5181907184</v>
      </c>
      <c r="R32" s="9" t="n">
        <f aca="false">R30+R31</f>
        <v>109118.759951732</v>
      </c>
      <c r="S32" s="9" t="n">
        <f aca="false">S30+S31</f>
        <v>120736.780609358</v>
      </c>
      <c r="T32" s="9" t="n">
        <f aca="false">T30+T31</f>
        <v>133447.300491374</v>
      </c>
      <c r="U32" s="9" t="n">
        <f aca="false">U30+U31</f>
        <v>147354.235842829</v>
      </c>
      <c r="V32" s="9" t="n">
        <f aca="false">V30+V31</f>
        <v>162571.630732514</v>
      </c>
      <c r="W32" s="9" t="n">
        <f aca="false">W30+W31</f>
        <v>175645.814848548</v>
      </c>
      <c r="X32" s="9" t="n">
        <f aca="false">X30+X31</f>
        <v>189558.283052871</v>
      </c>
      <c r="Y32" s="9" t="n">
        <f aca="false">Y30+Y31</f>
        <v>204344.807529562</v>
      </c>
    </row>
    <row r="33" customFormat="false" ht="15" hidden="false" customHeight="false" outlineLevel="0" collapsed="false">
      <c r="A33" s="4" t="s">
        <v>176</v>
      </c>
      <c r="B33" s="5" t="n">
        <f aca="false">B32</f>
        <v>9201.30009312431</v>
      </c>
      <c r="C33" s="5" t="n">
        <f aca="false">B33+C32</f>
        <v>21268.7196277468</v>
      </c>
      <c r="D33" s="5" t="n">
        <f aca="false">C33+D32</f>
        <v>36544.237016586</v>
      </c>
      <c r="E33" s="5" t="n">
        <f aca="false">D33+E32</f>
        <v>55410.0757173752</v>
      </c>
      <c r="F33" s="5" t="n">
        <f aca="false">E33+F32</f>
        <v>78293.4239111854</v>
      </c>
      <c r="G33" s="5" t="n">
        <f aca="false">F33+G32</f>
        <v>105671.710801868</v>
      </c>
      <c r="H33" s="5" t="n">
        <f aca="false">G33+H32</f>
        <v>137595.407603343</v>
      </c>
      <c r="I33" s="5" t="n">
        <f aca="false">H33+I32</f>
        <v>174554.610945509</v>
      </c>
      <c r="J33" s="5" t="n">
        <f aca="false">I33+J32</f>
        <v>217092.056681425</v>
      </c>
      <c r="K33" s="5" t="n">
        <f aca="false">J33+K32</f>
        <v>265808.808223793</v>
      </c>
      <c r="L33" s="5" t="n">
        <f aca="false">K33+L32</f>
        <v>321370.570083819</v>
      </c>
      <c r="M33" s="5" t="n">
        <f aca="false">L33+M32</f>
        <v>384514.697373125</v>
      </c>
      <c r="N33" s="5" t="n">
        <f aca="false">M33+N32</f>
        <v>456312.793321981</v>
      </c>
      <c r="O33" s="5" t="n">
        <f aca="false">N33+O32</f>
        <v>536226.296837145</v>
      </c>
      <c r="P33" s="5" t="n">
        <f aca="false">O33+P32</f>
        <v>625015.986541009</v>
      </c>
      <c r="Q33" s="5" t="n">
        <f aca="false">P33+Q32</f>
        <v>723514.504731727</v>
      </c>
      <c r="R33" s="5" t="n">
        <f aca="false">Q33+R32</f>
        <v>832633.264683459</v>
      </c>
      <c r="S33" s="5" t="n">
        <f aca="false">R33+S32</f>
        <v>953370.045292817</v>
      </c>
      <c r="T33" s="5" t="n">
        <f aca="false">S33+T32</f>
        <v>1086817.34578419</v>
      </c>
      <c r="U33" s="5" t="n">
        <f aca="false">T33+U32</f>
        <v>1234171.58162702</v>
      </c>
      <c r="V33" s="5" t="n">
        <f aca="false">U33+V32</f>
        <v>1396743.21235953</v>
      </c>
      <c r="W33" s="5" t="n">
        <f aca="false">V33+W32</f>
        <v>1572389.02720808</v>
      </c>
      <c r="X33" s="5" t="n">
        <f aca="false">W33+X32</f>
        <v>1761947.31026095</v>
      </c>
      <c r="Y33" s="5" t="n">
        <f aca="false">X33+Y32</f>
        <v>1966292.11779051</v>
      </c>
    </row>
    <row r="34" customFormat="false" ht="15" hidden="false" customHeight="false" outlineLevel="0" collapsed="false">
      <c r="A34" s="4" t="s">
        <v>177</v>
      </c>
      <c r="M34" s="5" t="n">
        <f aca="false">SUM(B32:M32)</f>
        <v>384514.697373125</v>
      </c>
      <c r="N34" s="5" t="n">
        <f aca="false">SUM(C32:N32)</f>
        <v>447111.493228856</v>
      </c>
      <c r="O34" s="5" t="n">
        <f aca="false">SUM(D32:O32)</f>
        <v>514957.577209398</v>
      </c>
      <c r="P34" s="5" t="n">
        <f aca="false">SUM(E32:P32)</f>
        <v>588471.749524423</v>
      </c>
      <c r="Q34" s="5" t="n">
        <f aca="false">SUM(F32:Q32)</f>
        <v>668104.429014352</v>
      </c>
      <c r="R34" s="5" t="n">
        <f aca="false">SUM(G32:R32)</f>
        <v>754339.840772274</v>
      </c>
      <c r="S34" s="5" t="n">
        <f aca="false">SUM(H32:S32)</f>
        <v>847698.334490949</v>
      </c>
      <c r="T34" s="5" t="n">
        <f aca="false">SUM(I32:T32)</f>
        <v>949221.938180848</v>
      </c>
      <c r="U34" s="5" t="n">
        <f aca="false">SUM(J32:U32)</f>
        <v>1059616.97068151</v>
      </c>
      <c r="V34" s="5" t="n">
        <f aca="false">SUM(K32:V32)</f>
        <v>1179651.15567811</v>
      </c>
      <c r="W34" s="5" t="n">
        <f aca="false">SUM(L32:W32)</f>
        <v>1306580.21898429</v>
      </c>
      <c r="X34" s="5" t="n">
        <f aca="false">SUM(M32:X32)</f>
        <v>1440576.74017713</v>
      </c>
      <c r="Y34" s="5" t="n">
        <f aca="false">SUM(N32:Y32)</f>
        <v>1581777.42041739</v>
      </c>
    </row>
    <row r="35" customFormat="false" ht="15" hidden="false" customHeight="false" outlineLevel="0" collapsed="false">
      <c r="A35" s="4" t="s">
        <v>178</v>
      </c>
      <c r="B35" s="5" t="n">
        <f aca="false">B32*12</f>
        <v>110415.601117492</v>
      </c>
      <c r="C35" s="5" t="n">
        <f aca="false">C32*12</f>
        <v>144809.03441547</v>
      </c>
      <c r="D35" s="5" t="n">
        <f aca="false">D32*12</f>
        <v>183306.20866607</v>
      </c>
      <c r="E35" s="5" t="n">
        <f aca="false">E32*12</f>
        <v>226390.06440947</v>
      </c>
      <c r="F35" s="5" t="n">
        <f aca="false">F32*12</f>
        <v>274600.178325723</v>
      </c>
      <c r="G35" s="5" t="n">
        <f aca="false">G32*12</f>
        <v>328539.442688187</v>
      </c>
      <c r="H35" s="5" t="n">
        <f aca="false">H32*12</f>
        <v>383084.361617698</v>
      </c>
      <c r="I35" s="5" t="n">
        <f aca="false">I32*12</f>
        <v>443510.440105996</v>
      </c>
      <c r="J35" s="5" t="n">
        <f aca="false">J32*12</f>
        <v>510449.348830993</v>
      </c>
      <c r="K35" s="5" t="n">
        <f aca="false">K32*12</f>
        <v>584601.018508422</v>
      </c>
      <c r="L35" s="5" t="n">
        <f aca="false">L32*12</f>
        <v>666741.142320303</v>
      </c>
      <c r="M35" s="5" t="n">
        <f aca="false">M32*12</f>
        <v>757729.527471672</v>
      </c>
      <c r="N35" s="5" t="n">
        <f aca="false">N32*12</f>
        <v>861577.15138627</v>
      </c>
      <c r="O35" s="5" t="n">
        <f aca="false">O32*12</f>
        <v>958962.042181968</v>
      </c>
      <c r="P35" s="5" t="n">
        <f aca="false">P32*12</f>
        <v>1065476.27644637</v>
      </c>
      <c r="Q35" s="5" t="n">
        <f aca="false">Q32*12</f>
        <v>1181982.21828862</v>
      </c>
      <c r="R35" s="5" t="n">
        <f aca="false">R32*12</f>
        <v>1309425.11942078</v>
      </c>
      <c r="S35" s="5" t="n">
        <f aca="false">S32*12</f>
        <v>1448841.3673123</v>
      </c>
      <c r="T35" s="5" t="n">
        <f aca="false">T32*12</f>
        <v>1601367.60589648</v>
      </c>
      <c r="U35" s="5" t="n">
        <f aca="false">U32*12</f>
        <v>1768250.83011395</v>
      </c>
      <c r="V35" s="5" t="n">
        <f aca="false">V32*12</f>
        <v>1950859.56879017</v>
      </c>
      <c r="W35" s="5" t="n">
        <f aca="false">W32*12</f>
        <v>2107749.77818258</v>
      </c>
      <c r="X35" s="5" t="n">
        <f aca="false">X32*12</f>
        <v>2274699.39663445</v>
      </c>
      <c r="Y35" s="5" t="n">
        <f aca="false">Y32*12</f>
        <v>2452137.69035474</v>
      </c>
    </row>
    <row r="36" customFormat="false" ht="15" hidden="false" customHeight="false" outlineLevel="0" collapsed="false">
      <c r="A36" s="8" t="s">
        <v>179</v>
      </c>
      <c r="B36" s="18" t="n">
        <f aca="false">B35/Plan_Supuestos!$B$13</f>
        <v>31547.3146049976</v>
      </c>
      <c r="C36" s="18" t="n">
        <f aca="false">C35/Plan_Supuestos!$B$13</f>
        <v>41374.0098329916</v>
      </c>
      <c r="D36" s="18" t="n">
        <f aca="false">D35/Plan_Supuestos!$B$13</f>
        <v>52373.2024760201</v>
      </c>
      <c r="E36" s="18" t="n">
        <f aca="false">E35/Plan_Supuestos!$B$13</f>
        <v>64682.8755455628</v>
      </c>
      <c r="F36" s="18" t="n">
        <f aca="false">F35/Plan_Supuestos!$B$13</f>
        <v>78457.1938073494</v>
      </c>
      <c r="G36" s="18" t="n">
        <f aca="false">G35/Plan_Supuestos!$B$13</f>
        <v>93868.4121966249</v>
      </c>
      <c r="H36" s="18" t="n">
        <f aca="false">H35/Plan_Supuestos!$B$13</f>
        <v>109452.674747914</v>
      </c>
      <c r="I36" s="18" t="n">
        <f aca="false">I35/Plan_Supuestos!$B$13</f>
        <v>126717.268601713</v>
      </c>
      <c r="J36" s="18" t="n">
        <f aca="false">J35/Plan_Supuestos!$B$13</f>
        <v>145842.671094569</v>
      </c>
      <c r="K36" s="18" t="n">
        <f aca="false">K35/Plan_Supuestos!$B$13</f>
        <v>167028.862430978</v>
      </c>
      <c r="L36" s="18" t="n">
        <f aca="false">L35/Plan_Supuestos!$B$13</f>
        <v>190497.469234372</v>
      </c>
      <c r="M36" s="18" t="n">
        <f aca="false">M35/Plan_Supuestos!$B$13</f>
        <v>216494.150706192</v>
      </c>
      <c r="N36" s="18" t="n">
        <f aca="false">N35/Plan_Supuestos!$B$13</f>
        <v>246164.900396077</v>
      </c>
      <c r="O36" s="18" t="n">
        <f aca="false">O35/Plan_Supuestos!$B$13</f>
        <v>273989.154909134</v>
      </c>
      <c r="P36" s="18" t="n">
        <f aca="false">P35/Plan_Supuestos!$B$13</f>
        <v>304421.793270392</v>
      </c>
      <c r="Q36" s="18" t="n">
        <f aca="false">Q35/Plan_Supuestos!$B$13</f>
        <v>337709.20522532</v>
      </c>
      <c r="R36" s="18" t="n">
        <f aca="false">R35/Plan_Supuestos!$B$13</f>
        <v>374121.462691652</v>
      </c>
      <c r="S36" s="18" t="n">
        <f aca="false">S35/Plan_Supuestos!$B$13</f>
        <v>413954.676374942</v>
      </c>
      <c r="T36" s="18" t="n">
        <f aca="false">T35/Plan_Supuestos!$B$13</f>
        <v>457533.60168471</v>
      </c>
      <c r="U36" s="18" t="n">
        <f aca="false">U35/Plan_Supuestos!$B$13</f>
        <v>505214.5228897</v>
      </c>
      <c r="V36" s="18" t="n">
        <f aca="false">V35/Plan_Supuestos!$B$13</f>
        <v>557388.448225763</v>
      </c>
      <c r="W36" s="18" t="n">
        <f aca="false">W35/Plan_Supuestos!$B$13</f>
        <v>602214.222337879</v>
      </c>
      <c r="X36" s="18" t="n">
        <f aca="false">X35/Plan_Supuestos!$B$13</f>
        <v>649914.113324129</v>
      </c>
      <c r="Y36" s="18" t="n">
        <f aca="false">Y35/Plan_Supuestos!$B$13</f>
        <v>700610.768672783</v>
      </c>
    </row>
    <row r="37" customFormat="false" ht="15" hidden="false" customHeight="false" outlineLevel="0" collapsed="false">
      <c r="A37" s="4" t="s">
        <v>180</v>
      </c>
      <c r="B37" s="5" t="n">
        <f aca="false">IF(B36&gt;=Plan_Supuestos!$B$14,1,0)</f>
        <v>0</v>
      </c>
      <c r="C37" s="5" t="n">
        <f aca="false">IF(C36&gt;=Plan_Supuestos!$B$14,1,0)</f>
        <v>0</v>
      </c>
      <c r="D37" s="5" t="n">
        <f aca="false">IF(D36&gt;=Plan_Supuestos!$B$14,1,0)</f>
        <v>0</v>
      </c>
      <c r="E37" s="5" t="n">
        <f aca="false">IF(E36&gt;=Plan_Supuestos!$B$14,1,0)</f>
        <v>0</v>
      </c>
      <c r="F37" s="5" t="n">
        <f aca="false">IF(F36&gt;=Plan_Supuestos!$B$14,1,0)</f>
        <v>0</v>
      </c>
      <c r="G37" s="5" t="n">
        <f aca="false">IF(G36&gt;=Plan_Supuestos!$B$14,1,0)</f>
        <v>0</v>
      </c>
      <c r="H37" s="5" t="n">
        <f aca="false">IF(H36&gt;=Plan_Supuestos!$B$14,1,0)</f>
        <v>0</v>
      </c>
      <c r="I37" s="5" t="n">
        <f aca="false">IF(I36&gt;=Plan_Supuestos!$B$14,1,0)</f>
        <v>0</v>
      </c>
      <c r="J37" s="5" t="n">
        <f aca="false">IF(J36&gt;=Plan_Supuestos!$B$14,1,0)</f>
        <v>0</v>
      </c>
      <c r="K37" s="5" t="n">
        <f aca="false">IF(K36&gt;=Plan_Supuestos!$B$14,1,0)</f>
        <v>0</v>
      </c>
      <c r="L37" s="5" t="n">
        <f aca="false">IF(L36&gt;=Plan_Supuestos!$B$14,1,0)</f>
        <v>0</v>
      </c>
      <c r="M37" s="5" t="n">
        <f aca="false">IF(M36&gt;=Plan_Supuestos!$B$14,1,0)</f>
        <v>0</v>
      </c>
      <c r="N37" s="5" t="n">
        <f aca="false">IF(N36&gt;=Plan_Supuestos!$B$14,1,0)</f>
        <v>0</v>
      </c>
      <c r="O37" s="5" t="n">
        <f aca="false">IF(O36&gt;=Plan_Supuestos!$B$14,1,0)</f>
        <v>0</v>
      </c>
      <c r="P37" s="5" t="n">
        <f aca="false">IF(P36&gt;=Plan_Supuestos!$B$14,1,0)</f>
        <v>0</v>
      </c>
      <c r="Q37" s="5" t="n">
        <f aca="false">IF(Q36&gt;=Plan_Supuestos!$B$14,1,0)</f>
        <v>0</v>
      </c>
      <c r="R37" s="5" t="n">
        <f aca="false">IF(R36&gt;=Plan_Supuestos!$B$14,1,0)</f>
        <v>0</v>
      </c>
      <c r="S37" s="5" t="n">
        <f aca="false">IF(S36&gt;=Plan_Supuestos!$B$14,1,0)</f>
        <v>0</v>
      </c>
      <c r="T37" s="5" t="n">
        <f aca="false">IF(T36&gt;=Plan_Supuestos!$B$14,1,0)</f>
        <v>0</v>
      </c>
      <c r="U37" s="5" t="n">
        <f aca="false">IF(U36&gt;=Plan_Supuestos!$B$14,1,0)</f>
        <v>0</v>
      </c>
      <c r="V37" s="5" t="n">
        <f aca="false">IF(V36&gt;=Plan_Supuestos!$B$14,1,0)</f>
        <v>0</v>
      </c>
      <c r="W37" s="5" t="n">
        <f aca="false">IF(W36&gt;=Plan_Supuestos!$B$14,1,0)</f>
        <v>0</v>
      </c>
      <c r="X37" s="5" t="n">
        <f aca="false">IF(X36&gt;=Plan_Supuestos!$B$14,1,0)</f>
        <v>0</v>
      </c>
      <c r="Y37" s="5" t="n">
        <f aca="false">IF(Y36&gt;=Plan_Supuestos!$B$14,1,0)</f>
        <v>0</v>
      </c>
    </row>
    <row r="38" customFormat="false" ht="15" hidden="false" customHeight="false" outlineLevel="0" collapsed="false">
      <c r="A38" s="4" t="s">
        <v>181</v>
      </c>
      <c r="B38" s="5" t="n">
        <f aca="false">B12*(Plan_Supuestos!$B$8*Supuestos!$B$7+(1-Plan_Supuestos!$B$8)*Supuestos!$B$8)*SUMPRODUCT(B17:B22,Plan_Supuestos!$F$30:$F$35)+B14*Plan_Supuestos!$F$36</f>
        <v>4640.04846575016</v>
      </c>
      <c r="C38" s="5" t="n">
        <f aca="false">C12*(Plan_Supuestos!$B$8*Supuestos!$B$7+(1-Plan_Supuestos!$B$8)*Supuestos!$B$8)*SUMPRODUCT(C17:C22,Plan_Supuestos!$F$30:$F$35)+C14*Plan_Supuestos!$F$36</f>
        <v>5528.2969040633</v>
      </c>
      <c r="D38" s="5" t="n">
        <f aca="false">D12*(Plan_Supuestos!$B$8*Supuestos!$B$7+(1-Plan_Supuestos!$B$8)*Supuestos!$B$8)*SUMPRODUCT(D17:D22,Plan_Supuestos!$F$30:$F$35)+D14*Plan_Supuestos!$F$36</f>
        <v>6544.56968942473</v>
      </c>
      <c r="E38" s="5" t="n">
        <f aca="false">E12*(Plan_Supuestos!$B$8*Supuestos!$B$7+(1-Plan_Supuestos!$B$8)*Supuestos!$B$8)*SUMPRODUCT(E17:E22,Plan_Supuestos!$F$30:$F$35)+E14*Plan_Supuestos!$F$36</f>
        <v>7705.50076984014</v>
      </c>
      <c r="F38" s="5" t="n">
        <f aca="false">F12*(Plan_Supuestos!$B$8*Supuestos!$B$7+(1-Plan_Supuestos!$B$8)*Supuestos!$B$8)*SUMPRODUCT(F17:F22,Plan_Supuestos!$F$30:$F$35)+F14*Plan_Supuestos!$F$36</f>
        <v>9029.78551929733</v>
      </c>
      <c r="G38" s="5" t="n">
        <f aca="false">G12*(Plan_Supuestos!$B$8*Supuestos!$B$7+(1-Plan_Supuestos!$B$8)*Supuestos!$B$8)*SUMPRODUCT(G17:G22,Plan_Supuestos!$F$30:$F$35)+G14*Plan_Supuestos!$F$36</f>
        <v>10538.4310750868</v>
      </c>
      <c r="H38" s="5" t="n">
        <f aca="false">H12*(Plan_Supuestos!$B$8*Supuestos!$B$7+(1-Plan_Supuestos!$B$8)*Supuestos!$B$8)*SUMPRODUCT(H17:H22,Plan_Supuestos!$F$30:$F$35)+H14*Plan_Supuestos!$F$36</f>
        <v>12255.0369598797</v>
      </c>
      <c r="I38" s="5" t="n">
        <f aca="false">I12*(Plan_Supuestos!$B$8*Supuestos!$B$7+(1-Plan_Supuestos!$B$8)*Supuestos!$B$8)*SUMPRODUCT(I17:I22,Plan_Supuestos!$F$30:$F$35)+I14*Plan_Supuestos!$F$36</f>
        <v>14206.1096829072</v>
      </c>
      <c r="J38" s="5" t="n">
        <f aca="false">J12*(Plan_Supuestos!$B$8*Supuestos!$B$7+(1-Plan_Supuestos!$B$8)*Supuestos!$B$8)*SUMPRODUCT(J17:J22,Plan_Supuestos!$F$30:$F$35)+J14*Plan_Supuestos!$F$36</f>
        <v>16421.4154737313</v>
      </c>
      <c r="K38" s="5" t="n">
        <f aca="false">K12*(Plan_Supuestos!$B$8*Supuestos!$B$7+(1-Plan_Supuestos!$B$8)*Supuestos!$B$8)*SUMPRODUCT(K17:K22,Plan_Supuestos!$F$30:$F$35)+K14*Plan_Supuestos!$F$36</f>
        <v>18934.3758199363</v>
      </c>
      <c r="L38" s="5" t="n">
        <f aca="false">L12*(Plan_Supuestos!$B$8*Supuestos!$B$7+(1-Plan_Supuestos!$B$8)*Supuestos!$B$8)*SUMPRODUCT(L17:L22,Plan_Supuestos!$F$30:$F$35)+L14*Plan_Supuestos!$F$36</f>
        <v>21782.5110644042</v>
      </c>
      <c r="M38" s="5" t="n">
        <f aca="false">M12*(Plan_Supuestos!$B$8*Supuestos!$B$7+(1-Plan_Supuestos!$B$8)*Supuestos!$B$8)*SUMPRODUCT(M17:M22,Plan_Supuestos!$F$30:$F$35)+M14*Plan_Supuestos!$F$36</f>
        <v>25007.9379775359</v>
      </c>
      <c r="N38" s="5" t="n">
        <f aca="false">N12*(Plan_Supuestos!$B$8*Supuestos!$B$7+(1-Plan_Supuestos!$B$8)*Supuestos!$B$8)*SUMPRODUCT(N17:N22,Plan_Supuestos!$F$30:$F$35)+N14*Plan_Supuestos!$F$36</f>
        <v>27506.2441548493</v>
      </c>
      <c r="O38" s="5" t="n">
        <f aca="false">O12*(Plan_Supuestos!$B$8*Supuestos!$B$7+(1-Plan_Supuestos!$B$8)*Supuestos!$B$8)*SUMPRODUCT(O17:O22,Plan_Supuestos!$F$30:$F$35)+O14*Plan_Supuestos!$F$36</f>
        <v>30290.9034993067</v>
      </c>
      <c r="P38" s="5" t="n">
        <f aca="false">P12*(Plan_Supuestos!$B$8*Supuestos!$B$7+(1-Plan_Supuestos!$B$8)*Supuestos!$B$8)*SUMPRODUCT(P17:P22,Plan_Supuestos!$F$30:$F$35)+P14*Plan_Supuestos!$F$36</f>
        <v>33361.8814740433</v>
      </c>
      <c r="Q38" s="5" t="n">
        <f aca="false">Q12*(Plan_Supuestos!$B$8*Supuestos!$B$7+(1-Plan_Supuestos!$B$8)*Supuestos!$B$8)*SUMPRODUCT(Q17:Q22,Plan_Supuestos!$F$30:$F$35)+Q14*Plan_Supuestos!$F$36</f>
        <v>36749.1721151249</v>
      </c>
      <c r="R38" s="5" t="n">
        <f aca="false">R12*(Plan_Supuestos!$B$8*Supuestos!$B$7+(1-Plan_Supuestos!$B$8)*Supuestos!$B$8)*SUMPRODUCT(R17:R22,Plan_Supuestos!$F$30:$F$35)+R14*Plan_Supuestos!$F$36</f>
        <v>40485.9833457063</v>
      </c>
      <c r="S38" s="5" t="n">
        <f aca="false">S12*(Plan_Supuestos!$B$8*Supuestos!$B$7+(1-Plan_Supuestos!$B$8)*Supuestos!$B$8)*SUMPRODUCT(S17:S22,Plan_Supuestos!$F$30:$F$35)+S14*Plan_Supuestos!$F$36</f>
        <v>44609.0909187188</v>
      </c>
      <c r="T38" s="5" t="n">
        <f aca="false">T12*(Plan_Supuestos!$B$8*Supuestos!$B$7+(1-Plan_Supuestos!$B$8)*Supuestos!$B$8)*SUMPRODUCT(T17:T22,Plan_Supuestos!$F$30:$F$35)+T14*Plan_Supuestos!$F$36</f>
        <v>49159.2326571891</v>
      </c>
      <c r="U38" s="5" t="n">
        <f aca="false">U12*(Plan_Supuestos!$B$8*Supuestos!$B$7+(1-Plan_Supuestos!$B$8)*Supuestos!$B$8)*SUMPRODUCT(U17:U22,Plan_Supuestos!$F$30:$F$35)+U14*Plan_Supuestos!$F$36</f>
        <v>54181.5477681195</v>
      </c>
      <c r="V38" s="5" t="n">
        <f aca="false">V12*(Plan_Supuestos!$B$8*Supuestos!$B$7+(1-Plan_Supuestos!$B$8)*Supuestos!$B$8)*SUMPRODUCT(V17:V22,Plan_Supuestos!$F$30:$F$35)+V14*Plan_Supuestos!$F$36</f>
        <v>59726.0665996529</v>
      </c>
      <c r="W38" s="5" t="n">
        <f aca="false">W12*(Plan_Supuestos!$B$8*Supuestos!$B$7+(1-Plan_Supuestos!$B$8)*Supuestos!$B$8)*SUMPRODUCT(W17:W22,Plan_Supuestos!$F$30:$F$35)+W14*Plan_Supuestos!$F$36</f>
        <v>65023.7381515159</v>
      </c>
      <c r="X38" s="5" t="n">
        <f aca="false">X12*(Plan_Supuestos!$B$8*Supuestos!$B$7+(1-Plan_Supuestos!$B$8)*Supuestos!$B$8)*SUMPRODUCT(X17:X22,Plan_Supuestos!$F$30:$F$35)+X14*Plan_Supuestos!$F$36</f>
        <v>70791.2872532451</v>
      </c>
      <c r="Y38" s="5" t="n">
        <f aca="false">Y12*(Plan_Supuestos!$B$8*Supuestos!$B$7+(1-Plan_Supuestos!$B$8)*Supuestos!$B$8)*SUMPRODUCT(Y17:Y22,Plan_Supuestos!$F$30:$F$35)+Y14*Plan_Supuestos!$F$36</f>
        <v>77070.3868731226</v>
      </c>
    </row>
    <row r="39" customFormat="false" ht="15" hidden="false" customHeight="false" outlineLevel="0" collapsed="false">
      <c r="A39" s="4" t="s">
        <v>182</v>
      </c>
      <c r="B39" s="5" t="n">
        <f aca="false">B38*Plan_Supuestos!$B$11</f>
        <v>23200.2423287508</v>
      </c>
      <c r="C39" s="5" t="n">
        <f aca="false">C38*Plan_Supuestos!$B$11</f>
        <v>27641.4845203165</v>
      </c>
      <c r="D39" s="5" t="n">
        <f aca="false">D38*Plan_Supuestos!$B$11</f>
        <v>32722.8484471236</v>
      </c>
      <c r="E39" s="5" t="n">
        <f aca="false">E38*Plan_Supuestos!$B$11</f>
        <v>38527.5038492007</v>
      </c>
      <c r="F39" s="5" t="n">
        <f aca="false">F38*Plan_Supuestos!$B$11</f>
        <v>45148.9275964866</v>
      </c>
      <c r="G39" s="5" t="n">
        <f aca="false">G38*Plan_Supuestos!$B$11</f>
        <v>52692.1553754342</v>
      </c>
      <c r="H39" s="5" t="n">
        <f aca="false">H38*Plan_Supuestos!$B$11</f>
        <v>61275.1847993985</v>
      </c>
      <c r="I39" s="5" t="n">
        <f aca="false">I38*Plan_Supuestos!$B$11</f>
        <v>71030.5484145361</v>
      </c>
      <c r="J39" s="5" t="n">
        <f aca="false">J38*Plan_Supuestos!$B$11</f>
        <v>82107.0773686567</v>
      </c>
      <c r="K39" s="5" t="n">
        <f aca="false">K38*Plan_Supuestos!$B$11</f>
        <v>94671.8790996813</v>
      </c>
      <c r="L39" s="5" t="n">
        <f aca="false">L38*Plan_Supuestos!$B$11</f>
        <v>108912.555322021</v>
      </c>
      <c r="M39" s="5" t="n">
        <f aca="false">M38*Plan_Supuestos!$B$11</f>
        <v>125039.689887679</v>
      </c>
      <c r="N39" s="5" t="n">
        <f aca="false">N38*Plan_Supuestos!$B$11</f>
        <v>137531.220774247</v>
      </c>
      <c r="O39" s="5" t="n">
        <f aca="false">O38*Plan_Supuestos!$B$11</f>
        <v>151454.517496533</v>
      </c>
      <c r="P39" s="5" t="n">
        <f aca="false">P38*Plan_Supuestos!$B$11</f>
        <v>166809.407370216</v>
      </c>
      <c r="Q39" s="5" t="n">
        <f aca="false">Q38*Plan_Supuestos!$B$11</f>
        <v>183745.860575624</v>
      </c>
      <c r="R39" s="5" t="n">
        <f aca="false">R38*Plan_Supuestos!$B$11</f>
        <v>202429.916728532</v>
      </c>
      <c r="S39" s="5" t="n">
        <f aca="false">S38*Plan_Supuestos!$B$11</f>
        <v>223045.454593594</v>
      </c>
      <c r="T39" s="5" t="n">
        <f aca="false">T38*Plan_Supuestos!$B$11</f>
        <v>245796.163285946</v>
      </c>
      <c r="U39" s="5" t="n">
        <f aca="false">U38*Plan_Supuestos!$B$11</f>
        <v>270907.738840597</v>
      </c>
      <c r="V39" s="5" t="n">
        <f aca="false">V38*Plan_Supuestos!$B$11</f>
        <v>298630.332998265</v>
      </c>
      <c r="W39" s="5" t="n">
        <f aca="false">W38*Plan_Supuestos!$B$11</f>
        <v>325118.69075758</v>
      </c>
      <c r="X39" s="5" t="n">
        <f aca="false">X38*Plan_Supuestos!$B$11</f>
        <v>353956.436266225</v>
      </c>
      <c r="Y39" s="5" t="n">
        <f aca="false">Y38*Plan_Supuestos!$B$11</f>
        <v>385351.934365613</v>
      </c>
    </row>
    <row r="40" customFormat="false" ht="15" hidden="false" customHeight="false" outlineLevel="0" collapsed="false">
      <c r="A40" s="4" t="s">
        <v>183</v>
      </c>
      <c r="B40" s="5" t="n">
        <f aca="false">0</f>
        <v>0</v>
      </c>
      <c r="C40" s="5" t="n">
        <f aca="false">C39-B39</f>
        <v>4441.2421915657</v>
      </c>
      <c r="D40" s="5" t="n">
        <f aca="false">D39-C39</f>
        <v>5081.36392680713</v>
      </c>
      <c r="E40" s="5" t="n">
        <f aca="false">E39-D39</f>
        <v>5804.65540207706</v>
      </c>
      <c r="F40" s="5" t="n">
        <f aca="false">F39-E39</f>
        <v>6621.42374728594</v>
      </c>
      <c r="G40" s="5" t="n">
        <f aca="false">G39-F39</f>
        <v>7543.22777894756</v>
      </c>
      <c r="H40" s="5" t="n">
        <f aca="false">H39-G39</f>
        <v>8583.02942396428</v>
      </c>
      <c r="I40" s="5" t="n">
        <f aca="false">I39-H39</f>
        <v>9755.36361513758</v>
      </c>
      <c r="J40" s="5" t="n">
        <f aca="false">J39-I39</f>
        <v>11076.5289541207</v>
      </c>
      <c r="K40" s="5" t="n">
        <f aca="false">K39-J39</f>
        <v>12564.8017310246</v>
      </c>
      <c r="L40" s="5" t="n">
        <f aca="false">L39-K39</f>
        <v>14240.6762223397</v>
      </c>
      <c r="M40" s="5" t="n">
        <f aca="false">M39-L39</f>
        <v>16127.1345656583</v>
      </c>
      <c r="N40" s="5" t="n">
        <f aca="false">N39-M39</f>
        <v>12491.5308865674</v>
      </c>
      <c r="O40" s="5" t="n">
        <f aca="false">O39-N39</f>
        <v>13923.2967222866</v>
      </c>
      <c r="P40" s="5" t="n">
        <f aca="false">P39-O39</f>
        <v>15354.8898736831</v>
      </c>
      <c r="Q40" s="5" t="n">
        <f aca="false">Q39-P39</f>
        <v>16936.4532054079</v>
      </c>
      <c r="R40" s="5" t="n">
        <f aca="false">R39-Q39</f>
        <v>18684.0561529072</v>
      </c>
      <c r="S40" s="5" t="n">
        <f aca="false">S39-R39</f>
        <v>20615.5378650624</v>
      </c>
      <c r="T40" s="5" t="n">
        <f aca="false">T39-S39</f>
        <v>22750.7086923516</v>
      </c>
      <c r="U40" s="5" t="n">
        <f aca="false">U39-T39</f>
        <v>25111.5755546516</v>
      </c>
      <c r="V40" s="5" t="n">
        <f aca="false">V39-U39</f>
        <v>27722.5941576673</v>
      </c>
      <c r="W40" s="5" t="n">
        <f aca="false">W39-V39</f>
        <v>26488.3577593149</v>
      </c>
      <c r="X40" s="5" t="n">
        <f aca="false">X39-W39</f>
        <v>28837.7455086458</v>
      </c>
      <c r="Y40" s="5" t="n">
        <f aca="false">Y39-X39</f>
        <v>31395.4980993878</v>
      </c>
    </row>
    <row r="41" customFormat="false" ht="15" hidden="false" customHeight="false" outlineLevel="0" collapsed="false">
      <c r="A41" s="4" t="s">
        <v>184</v>
      </c>
      <c r="B41" s="5" t="n">
        <f aca="false">B32-B40</f>
        <v>9201.30009312431</v>
      </c>
      <c r="C41" s="5" t="n">
        <f aca="false">C32-C40</f>
        <v>7626.17734305684</v>
      </c>
      <c r="D41" s="5" t="n">
        <f aca="false">D32-D40</f>
        <v>10194.1534620321</v>
      </c>
      <c r="E41" s="5" t="n">
        <f aca="false">E32-E40</f>
        <v>13061.1832987121</v>
      </c>
      <c r="F41" s="5" t="n">
        <f aca="false">F32-F40</f>
        <v>16261.9244465243</v>
      </c>
      <c r="G41" s="5" t="n">
        <f aca="false">G32-G40</f>
        <v>19835.0591117347</v>
      </c>
      <c r="H41" s="5" t="n">
        <f aca="false">H32-H40</f>
        <v>23340.6673775106</v>
      </c>
      <c r="I41" s="5" t="n">
        <f aca="false">I32-I40</f>
        <v>27203.8397270288</v>
      </c>
      <c r="J41" s="5" t="n">
        <f aca="false">J32-J40</f>
        <v>31460.9167817954</v>
      </c>
      <c r="K41" s="5" t="n">
        <f aca="false">K32-K40</f>
        <v>36151.9498113439</v>
      </c>
      <c r="L41" s="5" t="n">
        <f aca="false">L32-L40</f>
        <v>41321.0856376855</v>
      </c>
      <c r="M41" s="5" t="n">
        <f aca="false">M32-M40</f>
        <v>47016.9927236477</v>
      </c>
      <c r="N41" s="5" t="n">
        <f aca="false">N32-N40</f>
        <v>59306.5650622884</v>
      </c>
      <c r="O41" s="5" t="n">
        <f aca="false">O32-O40</f>
        <v>65990.2067928774</v>
      </c>
      <c r="P41" s="5" t="n">
        <f aca="false">P32-P40</f>
        <v>73434.7998301813</v>
      </c>
      <c r="Q41" s="5" t="n">
        <f aca="false">Q32-Q40</f>
        <v>81562.0649853105</v>
      </c>
      <c r="R41" s="5" t="n">
        <f aca="false">R32-R40</f>
        <v>90434.7037988245</v>
      </c>
      <c r="S41" s="5" t="n">
        <f aca="false">S32-S40</f>
        <v>100121.242744296</v>
      </c>
      <c r="T41" s="5" t="n">
        <f aca="false">T32-T40</f>
        <v>110696.591799022</v>
      </c>
      <c r="U41" s="5" t="n">
        <f aca="false">U32-U40</f>
        <v>122242.660288177</v>
      </c>
      <c r="V41" s="5" t="n">
        <f aca="false">V32-V40</f>
        <v>134849.036574847</v>
      </c>
      <c r="W41" s="5" t="n">
        <f aca="false">W32-W40</f>
        <v>149157.457089233</v>
      </c>
      <c r="X41" s="5" t="n">
        <f aca="false">X32-X40</f>
        <v>160720.537544225</v>
      </c>
      <c r="Y41" s="5" t="n">
        <f aca="false">Y32-Y40</f>
        <v>172949.309430174</v>
      </c>
    </row>
    <row r="42" customFormat="false" ht="15" hidden="false" customHeight="false" outlineLevel="0" collapsed="false">
      <c r="A42" s="8" t="s">
        <v>185</v>
      </c>
      <c r="B42" s="18" t="n">
        <f aca="false">B41</f>
        <v>9201.30009312431</v>
      </c>
      <c r="C42" s="18" t="n">
        <f aca="false">B42+C41</f>
        <v>16827.4774361811</v>
      </c>
      <c r="D42" s="18" t="n">
        <f aca="false">C42+D41</f>
        <v>27021.6308982132</v>
      </c>
      <c r="E42" s="18" t="n">
        <f aca="false">D42+E41</f>
        <v>40082.8141969253</v>
      </c>
      <c r="F42" s="18" t="n">
        <f aca="false">E42+F41</f>
        <v>56344.7386434496</v>
      </c>
      <c r="G42" s="18" t="n">
        <f aca="false">F42+G41</f>
        <v>76179.7977551843</v>
      </c>
      <c r="H42" s="18" t="n">
        <f aca="false">G42+H41</f>
        <v>99520.4651326949</v>
      </c>
      <c r="I42" s="18" t="n">
        <f aca="false">H42+I41</f>
        <v>126724.304859724</v>
      </c>
      <c r="J42" s="18" t="n">
        <f aca="false">I42+J41</f>
        <v>158185.221641519</v>
      </c>
      <c r="K42" s="18" t="n">
        <f aca="false">J42+K41</f>
        <v>194337.171452863</v>
      </c>
      <c r="L42" s="18" t="n">
        <f aca="false">K42+L41</f>
        <v>235658.257090548</v>
      </c>
      <c r="M42" s="18" t="n">
        <f aca="false">L42+M41</f>
        <v>282675.249814196</v>
      </c>
      <c r="N42" s="18" t="n">
        <f aca="false">M42+N41</f>
        <v>341981.814876485</v>
      </c>
      <c r="O42" s="18" t="n">
        <f aca="false">N42+O41</f>
        <v>407972.021669362</v>
      </c>
      <c r="P42" s="18" t="n">
        <f aca="false">O42+P41</f>
        <v>481406.821499543</v>
      </c>
      <c r="Q42" s="18" t="n">
        <f aca="false">P42+Q41</f>
        <v>562968.886484854</v>
      </c>
      <c r="R42" s="18" t="n">
        <f aca="false">Q42+R41</f>
        <v>653403.590283678</v>
      </c>
      <c r="S42" s="18" t="n">
        <f aca="false">R42+S41</f>
        <v>753524.833027974</v>
      </c>
      <c r="T42" s="18" t="n">
        <f aca="false">S42+T41</f>
        <v>864221.424826996</v>
      </c>
      <c r="U42" s="18" t="n">
        <f aca="false">T42+U41</f>
        <v>986464.085115173</v>
      </c>
      <c r="V42" s="18" t="n">
        <f aca="false">U42+V41</f>
        <v>1121313.12169002</v>
      </c>
      <c r="W42" s="18" t="n">
        <f aca="false">V42+W41</f>
        <v>1270470.57877925</v>
      </c>
      <c r="X42" s="18" t="n">
        <f aca="false">W42+X41</f>
        <v>1431191.11632348</v>
      </c>
      <c r="Y42" s="18" t="n">
        <f aca="false">X42+Y41</f>
        <v>1604140.42575365</v>
      </c>
    </row>
    <row r="43" customFormat="false" ht="15" hidden="false" customHeight="false" outlineLevel="0" collapsed="false">
      <c r="A43" s="4" t="s">
        <v>186</v>
      </c>
      <c r="B43" s="5" t="n">
        <f aca="false">B12*(B17+B18)</f>
        <v>147.739888977002</v>
      </c>
      <c r="C43" s="5" t="n">
        <f aca="false">C12*(C17+C18)</f>
        <v>159.902295921252</v>
      </c>
      <c r="D43" s="5" t="n">
        <f aca="false">D12*(D17+D18)</f>
        <v>173.059965828971</v>
      </c>
      <c r="E43" s="5" t="n">
        <f aca="false">E12*(E17+E18)</f>
        <v>187.29351484293</v>
      </c>
      <c r="F43" s="5" t="n">
        <f aca="false">F12*(F17+F18)</f>
        <v>202.689977413169</v>
      </c>
      <c r="G43" s="5" t="n">
        <f aca="false">G12*(G17+G18)</f>
        <v>219.34330214046</v>
      </c>
      <c r="H43" s="5" t="n">
        <f aca="false">H12*(H17+H18)</f>
        <v>237.354883808365</v>
      </c>
      <c r="I43" s="5" t="n">
        <f aca="false">I12*(I17+I18)</f>
        <v>256.834133934112</v>
      </c>
      <c r="J43" s="5" t="n">
        <f aca="false">J12*(J17+J18)</f>
        <v>277.899092269029</v>
      </c>
      <c r="K43" s="5" t="n">
        <f aca="false">K12*(K17+K18)</f>
        <v>300.677081775069</v>
      </c>
      <c r="L43" s="5" t="n">
        <f aca="false">L12*(L17+L18)</f>
        <v>325.305409692544</v>
      </c>
      <c r="M43" s="5" t="n">
        <f aca="false">M12*(M17+M18)</f>
        <v>351.932117392933</v>
      </c>
      <c r="N43" s="5" t="n">
        <f aca="false">N12*(N17+N18)</f>
        <v>387.507180102738</v>
      </c>
      <c r="O43" s="5" t="n">
        <f aca="false">O12*(O17+O18)</f>
        <v>426.733453536964</v>
      </c>
      <c r="P43" s="5" t="n">
        <f aca="false">P12*(P17+P18)</f>
        <v>469.992587876552</v>
      </c>
      <c r="Q43" s="5" t="n">
        <f aca="false">Q12*(Q17+Q18)</f>
        <v>517.707016922248</v>
      </c>
      <c r="R43" s="5" t="n">
        <f aca="false">R12*(R17+R18)</f>
        <v>570.344434552493</v>
      </c>
      <c r="S43" s="5" t="n">
        <f aca="false">S12*(S17+S18)</f>
        <v>628.422778731781</v>
      </c>
      <c r="T43" s="5" t="n">
        <f aca="false">T12*(T17+T18)</f>
        <v>692.515782914874</v>
      </c>
      <c r="U43" s="5" t="n">
        <f aca="false">U12*(U17+U18)</f>
        <v>763.259162086369</v>
      </c>
      <c r="V43" s="5" t="n">
        <f aca="false">V12*(V17+V18)</f>
        <v>841.357509034313</v>
      </c>
      <c r="W43" s="5" t="n">
        <f aca="false">W12*(W17+W18)</f>
        <v>915.997086091012</v>
      </c>
      <c r="X43" s="5" t="n">
        <f aca="false">X12*(X17+X18)</f>
        <v>997.258184205505</v>
      </c>
      <c r="Y43" s="5" t="n">
        <f aca="false">Y12*(Y17+Y18)</f>
        <v>1085.72822017258</v>
      </c>
    </row>
    <row r="44" customFormat="false" ht="15" hidden="false" customHeight="false" outlineLevel="0" collapsed="false">
      <c r="A44" s="4" t="s">
        <v>187</v>
      </c>
      <c r="B44" s="5" t="n">
        <f aca="false">B12*(B17*Plan_Supuestos!$I$30+B18*Plan_Supuestos!$I$31)+B14</f>
        <v>195.322125297383</v>
      </c>
      <c r="C44" s="5" t="n">
        <f aca="false">C12*(C17*Plan_Supuestos!$I$30+C18*Plan_Supuestos!$I$31)+C14</f>
        <v>210.903753055509</v>
      </c>
      <c r="D44" s="5" t="n">
        <f aca="false">D12*(D17*Plan_Supuestos!$I$30+D18*Plan_Supuestos!$I$31)+D14</f>
        <v>227.770838435434</v>
      </c>
      <c r="E44" s="5" t="n">
        <f aca="false">E12*(E17*Plan_Supuestos!$I$30+E18*Plan_Supuestos!$I$31)+E14</f>
        <v>246.028680090591</v>
      </c>
      <c r="F44" s="5" t="n">
        <f aca="false">F12*(F17*Plan_Supuestos!$I$30+F18*Plan_Supuestos!$I$31)+F14</f>
        <v>265.791098572342</v>
      </c>
      <c r="G44" s="5" t="n">
        <f aca="false">G12*(G17*Plan_Supuestos!$I$30+G18*Plan_Supuestos!$I$31)+G14</f>
        <v>287.181111796709</v>
      </c>
      <c r="H44" s="5" t="n">
        <f aca="false">H12*(H17*Plan_Supuestos!$I$30+H18*Plan_Supuestos!$I$31)+H14</f>
        <v>310.33166206637</v>
      </c>
      <c r="I44" s="5" t="n">
        <f aca="false">I12*(I17*Plan_Supuestos!$I$30+I18*Plan_Supuestos!$I$31)+I14</f>
        <v>335.386398295277</v>
      </c>
      <c r="J44" s="5" t="n">
        <f aca="false">J12*(J17*Plan_Supuestos!$I$30+J18*Plan_Supuestos!$I$31)+J14</f>
        <v>362.50051729698</v>
      </c>
      <c r="K44" s="5" t="n">
        <f aca="false">K12*(K17*Plan_Supuestos!$I$30+K18*Plan_Supuestos!$I$31)+K14</f>
        <v>391.841668216338</v>
      </c>
      <c r="L44" s="5" t="n">
        <f aca="false">L12*(L17*Plan_Supuestos!$I$30+L18*Plan_Supuestos!$I$31)+L14</f>
        <v>423.590924406456</v>
      </c>
      <c r="M44" s="5" t="n">
        <f aca="false">M12*(M17*Plan_Supuestos!$I$30+M18*Plan_Supuestos!$I$31)+M14</f>
        <v>457.943827276334</v>
      </c>
      <c r="N44" s="5" t="n">
        <f aca="false">N12*(N17*Plan_Supuestos!$I$30+N18*Plan_Supuestos!$I$31)+N14</f>
        <v>516.005924841338</v>
      </c>
      <c r="O44" s="5" t="n">
        <f aca="false">O12*(O17*Plan_Supuestos!$I$30+O18*Plan_Supuestos!$I$31)+O14</f>
        <v>568.128982001001</v>
      </c>
      <c r="P44" s="5" t="n">
        <f aca="false">P12*(P17*Plan_Supuestos!$I$30+P18*Plan_Supuestos!$I$31)+P14</f>
        <v>625.599990883118</v>
      </c>
      <c r="Q44" s="5" t="n">
        <f aca="false">Q12*(Q17*Plan_Supuestos!$I$30+Q18*Plan_Supuestos!$I$31)+Q14</f>
        <v>688.978043780451</v>
      </c>
      <c r="R44" s="5" t="n">
        <f aca="false">R12*(R17*Plan_Supuestos!$I$30+R18*Plan_Supuestos!$I$31)+R14</f>
        <v>758.88201993244</v>
      </c>
      <c r="S44" s="5" t="n">
        <f aca="false">S12*(S17*Plan_Supuestos!$I$30+S18*Plan_Supuestos!$I$31)+S14</f>
        <v>835.997156637328</v>
      </c>
      <c r="T44" s="5" t="n">
        <f aca="false">T12*(T17*Plan_Supuestos!$I$30+T18*Plan_Supuestos!$I$31)+T14</f>
        <v>921.082366996324</v>
      </c>
      <c r="U44" s="5" t="n">
        <f aca="false">U12*(U17*Plan_Supuestos!$I$30+U18*Plan_Supuestos!$I$31)+U14</f>
        <v>1014.97839259531</v>
      </c>
      <c r="V44" s="5" t="n">
        <f aca="false">V12*(V17*Plan_Supuestos!$I$30+V18*Plan_Supuestos!$I$31)+V14</f>
        <v>1118.6168903855</v>
      </c>
      <c r="W44" s="5" t="n">
        <f aca="false">W12*(W17*Plan_Supuestos!$I$30+W18*Plan_Supuestos!$I$31)+W14</f>
        <v>1218.18017448965</v>
      </c>
      <c r="X44" s="5" t="n">
        <f aca="false">X12*(X17*Plan_Supuestos!$I$30+X18*Plan_Supuestos!$I$31)+X14</f>
        <v>1326.61428031311</v>
      </c>
      <c r="Y44" s="5" t="n">
        <f aca="false">Y12*(Y17*Plan_Supuestos!$I$30+Y18*Plan_Supuestos!$I$31)+Y14</f>
        <v>1444.71070005071</v>
      </c>
    </row>
    <row r="45" customFormat="false" ht="15" hidden="false" customHeight="false" outlineLevel="0" collapsed="false">
      <c r="A45" s="4" t="s">
        <v>188</v>
      </c>
      <c r="B45" s="5" t="n">
        <f aca="false">B12*(Plan_Supuestos!$B$43+(Plan_Supuestos!$B$44-Plan_Supuestos!$B$43)*B16)*Plan_Supuestos!$J$35</f>
        <v>13.1324345757335</v>
      </c>
      <c r="C45" s="5" t="n">
        <f aca="false">C12*(Plan_Supuestos!$B$43+(Plan_Supuestos!$B$44-Plan_Supuestos!$B$43)*C16)*Plan_Supuestos!$J$35</f>
        <v>16.3499280083079</v>
      </c>
      <c r="D45" s="5" t="n">
        <f aca="false">D12*(Plan_Supuestos!$B$43+(Plan_Supuestos!$B$44-Plan_Supuestos!$B$43)*D16)*Plan_Supuestos!$J$35</f>
        <v>20.0649235743735</v>
      </c>
      <c r="E45" s="5" t="n">
        <f aca="false">E12*(Plan_Supuestos!$B$43+(Plan_Supuestos!$B$44-Plan_Supuestos!$B$43)*E16)*Plan_Supuestos!$J$35</f>
        <v>24.3442304408001</v>
      </c>
      <c r="F45" s="5" t="n">
        <f aca="false">F12*(Plan_Supuestos!$B$43+(Plan_Supuestos!$B$44-Plan_Supuestos!$B$43)*F16)*Plan_Supuestos!$J$35</f>
        <v>29.263096526742</v>
      </c>
      <c r="G45" s="5" t="n">
        <f aca="false">G12*(Plan_Supuestos!$B$43+(Plan_Supuestos!$B$44-Plan_Supuestos!$B$43)*G16)*Plan_Supuestos!$J$35</f>
        <v>34.9062459320301</v>
      </c>
      <c r="H45" s="5" t="n">
        <f aca="false">H12*(Plan_Supuestos!$B$43+(Plan_Supuestos!$B$44-Plan_Supuestos!$B$43)*H16)*Plan_Supuestos!$J$35</f>
        <v>41.3690429295626</v>
      </c>
      <c r="I45" s="5" t="n">
        <f aca="false">I12*(Plan_Supuestos!$B$43+(Plan_Supuestos!$B$44-Plan_Supuestos!$B$43)*I16)*Plan_Supuestos!$J$35</f>
        <v>48.7587980537166</v>
      </c>
      <c r="J45" s="5" t="n">
        <f aca="false">J12*(Plan_Supuestos!$B$43+(Plan_Supuestos!$B$44-Plan_Supuestos!$B$43)*J16)*Plan_Supuestos!$J$35</f>
        <v>57.1962337555944</v>
      </c>
      <c r="K45" s="5" t="n">
        <f aca="false">K12*(Plan_Supuestos!$B$43+(Plan_Supuestos!$B$44-Plan_Supuestos!$B$43)*K16)*Plan_Supuestos!$J$35</f>
        <v>66.8171292833487</v>
      </c>
      <c r="L45" s="5" t="n">
        <f aca="false">L12*(Plan_Supuestos!$B$43+(Plan_Supuestos!$B$44-Plan_Supuestos!$B$43)*L16)*Plan_Supuestos!$J$35</f>
        <v>77.774166914999</v>
      </c>
      <c r="M45" s="5" t="n">
        <f aca="false">M12*(Plan_Supuestos!$B$43+(Plan_Supuestos!$B$44-Plan_Supuestos!$B$43)*M16)*Plan_Supuestos!$J$35</f>
        <v>90.2390044597265</v>
      </c>
      <c r="N45" s="5" t="n">
        <f aca="false">N12*(Plan_Supuestos!$B$43+(Plan_Supuestos!$B$44-Plan_Supuestos!$B$43)*N16)*Plan_Supuestos!$J$35</f>
        <v>99.3608154109585</v>
      </c>
      <c r="O45" s="5" t="n">
        <f aca="false">O12*(Plan_Supuestos!$B$43+(Plan_Supuestos!$B$44-Plan_Supuestos!$B$43)*O16)*Plan_Supuestos!$J$35</f>
        <v>109.418834240247</v>
      </c>
      <c r="P45" s="5" t="n">
        <f aca="false">P12*(Plan_Supuestos!$B$43+(Plan_Supuestos!$B$44-Plan_Supuestos!$B$43)*P16)*Plan_Supuestos!$J$35</f>
        <v>120.510919968347</v>
      </c>
      <c r="Q45" s="5" t="n">
        <f aca="false">Q12*(Plan_Supuestos!$B$43+(Plan_Supuestos!$B$44-Plan_Supuestos!$B$43)*Q16)*Plan_Supuestos!$J$35</f>
        <v>132.745388954423</v>
      </c>
      <c r="R45" s="5" t="n">
        <f aca="false">R12*(Plan_Supuestos!$B$43+(Plan_Supuestos!$B$44-Plan_Supuestos!$B$43)*R16)*Plan_Supuestos!$J$35</f>
        <v>146.242162705767</v>
      </c>
      <c r="S45" s="5" t="n">
        <f aca="false">S12*(Plan_Supuestos!$B$43+(Plan_Supuestos!$B$44-Plan_Supuestos!$B$43)*S16)*Plan_Supuestos!$J$35</f>
        <v>161.134045828662</v>
      </c>
      <c r="T45" s="5" t="n">
        <f aca="false">T12*(Plan_Supuestos!$B$43+(Plan_Supuestos!$B$44-Plan_Supuestos!$B$43)*T16)*Plan_Supuestos!$J$35</f>
        <v>177.568149465352</v>
      </c>
      <c r="U45" s="5" t="n">
        <f aca="false">U12*(Plan_Supuestos!$B$43+(Plan_Supuestos!$B$44-Plan_Supuestos!$B$43)*U16)*Plan_Supuestos!$J$35</f>
        <v>195.707477458043</v>
      </c>
      <c r="V45" s="5" t="n">
        <f aca="false">V12*(Plan_Supuestos!$B$43+(Plan_Supuestos!$B$44-Plan_Supuestos!$B$43)*V16)*Plan_Supuestos!$J$35</f>
        <v>215.732694624183</v>
      </c>
      <c r="W45" s="5" t="n">
        <f aca="false">W12*(Plan_Supuestos!$B$43+(Plan_Supuestos!$B$44-Plan_Supuestos!$B$43)*W16)*Plan_Supuestos!$J$35</f>
        <v>234.871047715644</v>
      </c>
      <c r="X45" s="5" t="n">
        <f aca="false">X12*(Plan_Supuestos!$B$43+(Plan_Supuestos!$B$44-Plan_Supuestos!$B$43)*X16)*Plan_Supuestos!$J$35</f>
        <v>255.70722671936</v>
      </c>
      <c r="Y45" s="5" t="n">
        <f aca="false">Y12*(Plan_Supuestos!$B$43+(Plan_Supuestos!$B$44-Plan_Supuestos!$B$43)*Y16)*Plan_Supuestos!$J$35</f>
        <v>278.391851326301</v>
      </c>
    </row>
    <row r="46" customFormat="false" ht="15" hidden="false" customHeight="false" outlineLevel="0" collapsed="false">
      <c r="A46" s="4" t="s">
        <v>189</v>
      </c>
      <c r="B46" s="5" t="n">
        <f aca="false">B12*B19</f>
        <v>8.20777160983347</v>
      </c>
      <c r="C46" s="5" t="n">
        <f aca="false">C12*C19</f>
        <v>9.80995680498477</v>
      </c>
      <c r="D46" s="5" t="n">
        <f aca="false">D12*D19</f>
        <v>11.6448217172703</v>
      </c>
      <c r="E46" s="5" t="n">
        <f aca="false">E12*E19</f>
        <v>13.7427107327097</v>
      </c>
      <c r="F46" s="5" t="n">
        <f aca="false">F12*F19</f>
        <v>16.1377370551886</v>
      </c>
      <c r="G46" s="5" t="n">
        <f aca="false">G12*G19</f>
        <v>18.8682410443406</v>
      </c>
      <c r="H46" s="5" t="n">
        <f aca="false">H12*H19</f>
        <v>21.9773040563301</v>
      </c>
      <c r="I46" s="5" t="n">
        <f aca="false">I12*I19</f>
        <v>25.5133245629912</v>
      </c>
      <c r="J46" s="5" t="n">
        <f aca="false">J12*J19</f>
        <v>29.5306641672906</v>
      </c>
      <c r="K46" s="5" t="n">
        <f aca="false">K12*K19</f>
        <v>34.0903720833412</v>
      </c>
      <c r="L46" s="5" t="n">
        <f aca="false">L12*L19</f>
        <v>39.2609977215139</v>
      </c>
      <c r="M46" s="5" t="n">
        <f aca="false">M12*M19</f>
        <v>45.1195022298632</v>
      </c>
      <c r="N46" s="5" t="n">
        <f aca="false">N12*N19</f>
        <v>49.6804077054792</v>
      </c>
      <c r="O46" s="5" t="n">
        <f aca="false">O12*O19</f>
        <v>54.7094171201236</v>
      </c>
      <c r="P46" s="5" t="n">
        <f aca="false">P12*P19</f>
        <v>60.2554599841734</v>
      </c>
      <c r="Q46" s="5" t="n">
        <f aca="false">Q12*Q19</f>
        <v>66.3726944772113</v>
      </c>
      <c r="R46" s="5" t="n">
        <f aca="false">R12*R19</f>
        <v>73.1210813528837</v>
      </c>
      <c r="S46" s="5" t="n">
        <f aca="false">S12*S19</f>
        <v>80.5670229143309</v>
      </c>
      <c r="T46" s="5" t="n">
        <f aca="false">T12*T19</f>
        <v>88.7840747326762</v>
      </c>
      <c r="U46" s="5" t="n">
        <f aca="false">U12*U19</f>
        <v>97.8537387290217</v>
      </c>
      <c r="V46" s="5" t="n">
        <f aca="false">V12*V19</f>
        <v>107.866347312091</v>
      </c>
      <c r="W46" s="5" t="n">
        <f aca="false">W12*W19</f>
        <v>117.435523857822</v>
      </c>
      <c r="X46" s="5" t="n">
        <f aca="false">X12*X19</f>
        <v>127.85361335968</v>
      </c>
      <c r="Y46" s="5" t="n">
        <f aca="false">Y12*Y19</f>
        <v>139.195925663151</v>
      </c>
    </row>
    <row r="47" customFormat="false" ht="15" hidden="false" customHeight="false" outlineLevel="0" collapsed="false">
      <c r="A47" s="4" t="s">
        <v>190</v>
      </c>
      <c r="B47" s="5" t="n">
        <f aca="false">B12*B20</f>
        <v>6.56621728786677</v>
      </c>
      <c r="C47" s="5" t="n">
        <f aca="false">C12*C20</f>
        <v>7.52096688382165</v>
      </c>
      <c r="D47" s="5" t="n">
        <f aca="false">D12*D20</f>
        <v>8.59925296044579</v>
      </c>
      <c r="E47" s="5" t="n">
        <f aca="false">E12*E20</f>
        <v>9.81622195193553</v>
      </c>
      <c r="F47" s="5" t="n">
        <f aca="false">F12*F20</f>
        <v>11.1888310249308</v>
      </c>
      <c r="G47" s="5" t="n">
        <f aca="false">G12*G20</f>
        <v>12.7360627049299</v>
      </c>
      <c r="H47" s="5" t="n">
        <f aca="false">H12*H20</f>
        <v>14.4791650253469</v>
      </c>
      <c r="I47" s="5" t="n">
        <f aca="false">I12*I20</f>
        <v>16.4419202739277</v>
      </c>
      <c r="J47" s="5" t="n">
        <f aca="false">J12*J20</f>
        <v>18.6509457898677</v>
      </c>
      <c r="K47" s="5" t="n">
        <f aca="false">K12*K20</f>
        <v>21.1360306916715</v>
      </c>
      <c r="L47" s="5" t="n">
        <f aca="false">L12*L20</f>
        <v>23.9305128969228</v>
      </c>
      <c r="M47" s="5" t="n">
        <f aca="false">M12*M20</f>
        <v>27.0717013379179</v>
      </c>
      <c r="N47" s="5" t="n">
        <f aca="false">N12*N20</f>
        <v>29.8082446232875</v>
      </c>
      <c r="O47" s="5" t="n">
        <f aca="false">O12*O20</f>
        <v>32.8256502720741</v>
      </c>
      <c r="P47" s="5" t="n">
        <f aca="false">P12*P20</f>
        <v>36.153275990504</v>
      </c>
      <c r="Q47" s="5" t="n">
        <f aca="false">Q12*Q20</f>
        <v>39.8236166863268</v>
      </c>
      <c r="R47" s="5" t="n">
        <f aca="false">R12*R20</f>
        <v>43.8726488117302</v>
      </c>
      <c r="S47" s="5" t="n">
        <f aca="false">S12*S20</f>
        <v>48.3402137485986</v>
      </c>
      <c r="T47" s="5" t="n">
        <f aca="false">T12*T20</f>
        <v>53.2704448396057</v>
      </c>
      <c r="U47" s="5" t="n">
        <f aca="false">U12*U20</f>
        <v>58.712243237413</v>
      </c>
      <c r="V47" s="5" t="n">
        <f aca="false">V12*V20</f>
        <v>64.7198083872549</v>
      </c>
      <c r="W47" s="5" t="n">
        <f aca="false">W12*W20</f>
        <v>70.4613143146933</v>
      </c>
      <c r="X47" s="5" t="n">
        <f aca="false">X12*X20</f>
        <v>76.7121680158081</v>
      </c>
      <c r="Y47" s="5" t="n">
        <f aca="false">Y12*Y20</f>
        <v>83.5175553978904</v>
      </c>
    </row>
    <row r="48" customFormat="false" ht="15" hidden="false" customHeight="false" outlineLevel="0" collapsed="false">
      <c r="A48" s="4" t="s">
        <v>191</v>
      </c>
      <c r="B48" s="5" t="n">
        <f aca="false">B12*B21</f>
        <v>1.64155432196669</v>
      </c>
      <c r="C48" s="5" t="n">
        <f aca="false">C12*C21</f>
        <v>2.61598848132927</v>
      </c>
      <c r="D48" s="5" t="n">
        <f aca="false">D12*D21</f>
        <v>3.76217317019503</v>
      </c>
      <c r="E48" s="5" t="n">
        <f aca="false">E12*E21</f>
        <v>5.10443541500647</v>
      </c>
      <c r="F48" s="5" t="n">
        <f aca="false">F12*F21</f>
        <v>6.67026464947795</v>
      </c>
      <c r="G48" s="5" t="n">
        <f aca="false">G12*G21</f>
        <v>8.49070846995327</v>
      </c>
      <c r="H48" s="5" t="n">
        <f aca="false">H12*H21</f>
        <v>10.6008172507004</v>
      </c>
      <c r="I48" s="5" t="n">
        <f aca="false">I12*I21</f>
        <v>13.0401436655289</v>
      </c>
      <c r="J48" s="5" t="n">
        <f aca="false">J12*J21</f>
        <v>15.8533039213876</v>
      </c>
      <c r="K48" s="5" t="n">
        <f aca="false">K12*K21</f>
        <v>19.0906083666711</v>
      </c>
      <c r="L48" s="5" t="n">
        <f aca="false">L12*L21</f>
        <v>22.8087701048795</v>
      </c>
      <c r="M48" s="5" t="n">
        <f aca="false">M12*M21</f>
        <v>27.0717013379179</v>
      </c>
      <c r="N48" s="5" t="n">
        <f aca="false">N12*N21</f>
        <v>29.8082446232875</v>
      </c>
      <c r="O48" s="5" t="n">
        <f aca="false">O12*O21</f>
        <v>32.8256502720741</v>
      </c>
      <c r="P48" s="5" t="n">
        <f aca="false">P12*P21</f>
        <v>36.153275990504</v>
      </c>
      <c r="Q48" s="5" t="n">
        <f aca="false">Q12*Q21</f>
        <v>39.8236166863268</v>
      </c>
      <c r="R48" s="5" t="n">
        <f aca="false">R12*R21</f>
        <v>43.8726488117302</v>
      </c>
      <c r="S48" s="5" t="n">
        <f aca="false">S12*S21</f>
        <v>48.3402137485986</v>
      </c>
      <c r="T48" s="5" t="n">
        <f aca="false">T12*T21</f>
        <v>53.2704448396057</v>
      </c>
      <c r="U48" s="5" t="n">
        <f aca="false">U12*U21</f>
        <v>58.712243237413</v>
      </c>
      <c r="V48" s="5" t="n">
        <f aca="false">V12*V21</f>
        <v>64.7198083872549</v>
      </c>
      <c r="W48" s="5" t="n">
        <f aca="false">W12*W21</f>
        <v>70.4613143146933</v>
      </c>
      <c r="X48" s="5" t="n">
        <f aca="false">X12*X21</f>
        <v>76.7121680158081</v>
      </c>
      <c r="Y48" s="5" t="n">
        <f aca="false">Y12*Y21</f>
        <v>83.5175553978904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4" t="s">
        <v>125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3" t="n">
        <v>24</v>
      </c>
    </row>
    <row r="5" customFormat="false" ht="15" hidden="false" customHeight="false" outlineLevel="0" collapsed="false">
      <c r="A5" s="4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134</v>
      </c>
      <c r="J5" s="3" t="s">
        <v>135</v>
      </c>
      <c r="K5" s="3" t="s">
        <v>136</v>
      </c>
      <c r="L5" s="3" t="s">
        <v>137</v>
      </c>
      <c r="M5" s="3" t="s">
        <v>138</v>
      </c>
      <c r="N5" s="3" t="s">
        <v>139</v>
      </c>
      <c r="O5" s="3" t="s">
        <v>140</v>
      </c>
      <c r="P5" s="3" t="s">
        <v>141</v>
      </c>
      <c r="Q5" s="3" t="s">
        <v>142</v>
      </c>
      <c r="R5" s="3" t="s">
        <v>143</v>
      </c>
      <c r="S5" s="3" t="s">
        <v>144</v>
      </c>
      <c r="T5" s="3" t="s">
        <v>145</v>
      </c>
      <c r="U5" s="3" t="s">
        <v>146</v>
      </c>
      <c r="V5" s="3" t="s">
        <v>147</v>
      </c>
      <c r="W5" s="3" t="s">
        <v>148</v>
      </c>
      <c r="X5" s="3" t="s">
        <v>149</v>
      </c>
      <c r="Y5" s="3" t="s">
        <v>150</v>
      </c>
    </row>
    <row r="7" customFormat="false" ht="15" hidden="false" customHeight="false" outlineLevel="0" collapsed="false">
      <c r="A7" s="4" t="s">
        <v>110</v>
      </c>
      <c r="B7" s="5" t="n">
        <f aca="false">MIN(Plan_Supuestos!$D$20,Plan_Supuestos!$B$6*(1+Plan_Supuestos!$D$19)^(B$4-1))</f>
        <v>9000</v>
      </c>
      <c r="C7" s="5" t="n">
        <f aca="false">MIN(Plan_Supuestos!$D$20,Plan_Supuestos!$B$6*(1+Plan_Supuestos!$D$19)^(C$4-1))</f>
        <v>10350</v>
      </c>
      <c r="D7" s="5" t="n">
        <f aca="false">MIN(Plan_Supuestos!$D$20,Plan_Supuestos!$B$6*(1+Plan_Supuestos!$D$19)^(D$4-1))</f>
        <v>11902.5</v>
      </c>
      <c r="E7" s="5" t="n">
        <f aca="false">MIN(Plan_Supuestos!$D$20,Plan_Supuestos!$B$6*(1+Plan_Supuestos!$D$19)^(E$4-1))</f>
        <v>13687.875</v>
      </c>
      <c r="F7" s="5" t="n">
        <f aca="false">MIN(Plan_Supuestos!$D$20,Plan_Supuestos!$B$6*(1+Plan_Supuestos!$D$19)^(F$4-1))</f>
        <v>15741.05625</v>
      </c>
      <c r="G7" s="5" t="n">
        <f aca="false">MIN(Plan_Supuestos!$D$20,Plan_Supuestos!$B$6*(1+Plan_Supuestos!$D$19)^(G$4-1))</f>
        <v>18102.2146875</v>
      </c>
      <c r="H7" s="5" t="n">
        <f aca="false">MIN(Plan_Supuestos!$D$20,Plan_Supuestos!$B$6*(1+Plan_Supuestos!$D$19)^(H$4-1))</f>
        <v>20817.546890625</v>
      </c>
      <c r="I7" s="5" t="n">
        <f aca="false">MIN(Plan_Supuestos!$D$20,Plan_Supuestos!$B$6*(1+Plan_Supuestos!$D$19)^(I$4-1))</f>
        <v>23940.1789242187</v>
      </c>
      <c r="J7" s="5" t="n">
        <f aca="false">MIN(Plan_Supuestos!$D$20,Plan_Supuestos!$B$6*(1+Plan_Supuestos!$D$19)^(J$4-1))</f>
        <v>27531.2057628515</v>
      </c>
      <c r="K7" s="5" t="n">
        <f aca="false">MIN(Plan_Supuestos!$D$20,Plan_Supuestos!$B$6*(1+Plan_Supuestos!$D$19)^(K$4-1))</f>
        <v>31660.8866272793</v>
      </c>
      <c r="L7" s="5" t="n">
        <f aca="false">MIN(Plan_Supuestos!$D$20,Plan_Supuestos!$B$6*(1+Plan_Supuestos!$D$19)^(L$4-1))</f>
        <v>36410.0196213712</v>
      </c>
      <c r="M7" s="5" t="n">
        <f aca="false">MIN(Plan_Supuestos!$D$20,Plan_Supuestos!$B$6*(1+Plan_Supuestos!$D$19)^(M$4-1))</f>
        <v>41871.5225645768</v>
      </c>
      <c r="N7" s="5" t="n">
        <f aca="false">MIN(Plan_Supuestos!$D$20,Plan_Supuestos!$B$6*(1+Plan_Supuestos!$D$19)^(N$4-1))</f>
        <v>48152.2509492634</v>
      </c>
      <c r="O7" s="5" t="n">
        <f aca="false">MIN(Plan_Supuestos!$D$20,Plan_Supuestos!$B$6*(1+Plan_Supuestos!$D$19)^(O$4-1))</f>
        <v>55375.0885916529</v>
      </c>
      <c r="P7" s="5" t="n">
        <f aca="false">MIN(Plan_Supuestos!$D$20,Plan_Supuestos!$B$6*(1+Plan_Supuestos!$D$19)^(P$4-1))</f>
        <v>63681.3518804008</v>
      </c>
      <c r="Q7" s="5" t="n">
        <f aca="false">MIN(Plan_Supuestos!$D$20,Plan_Supuestos!$B$6*(1+Plan_Supuestos!$D$19)^(Q$4-1))</f>
        <v>73233.5546624609</v>
      </c>
      <c r="R7" s="5" t="n">
        <f aca="false">MIN(Plan_Supuestos!$D$20,Plan_Supuestos!$B$6*(1+Plan_Supuestos!$D$19)^(R$4-1))</f>
        <v>84218.58786183</v>
      </c>
      <c r="S7" s="5" t="n">
        <f aca="false">MIN(Plan_Supuestos!$D$20,Plan_Supuestos!$B$6*(1+Plan_Supuestos!$D$19)^(S$4-1))</f>
        <v>96851.3760411045</v>
      </c>
      <c r="T7" s="5" t="n">
        <f aca="false">MIN(Plan_Supuestos!$D$20,Plan_Supuestos!$B$6*(1+Plan_Supuestos!$D$19)^(T$4-1))</f>
        <v>111379.08244727</v>
      </c>
      <c r="U7" s="5" t="n">
        <f aca="false">MIN(Plan_Supuestos!$D$20,Plan_Supuestos!$B$6*(1+Plan_Supuestos!$D$19)^(U$4-1))</f>
        <v>128085.944814361</v>
      </c>
      <c r="V7" s="5" t="n">
        <f aca="false">MIN(Plan_Supuestos!$D$20,Plan_Supuestos!$B$6*(1+Plan_Supuestos!$D$19)^(V$4-1))</f>
        <v>147298.836536515</v>
      </c>
      <c r="W7" s="5" t="n">
        <f aca="false">MIN(Plan_Supuestos!$D$20,Plan_Supuestos!$B$6*(1+Plan_Supuestos!$D$19)^(W$4-1))</f>
        <v>169393.662016992</v>
      </c>
      <c r="X7" s="5" t="n">
        <f aca="false">MIN(Plan_Supuestos!$D$20,Plan_Supuestos!$B$6*(1+Plan_Supuestos!$D$19)^(X$4-1))</f>
        <v>194802.711319541</v>
      </c>
      <c r="Y7" s="5" t="n">
        <f aca="false">MIN(Plan_Supuestos!$D$20,Plan_Supuestos!$B$6*(1+Plan_Supuestos!$D$19)^(Y$4-1))</f>
        <v>224023.118017472</v>
      </c>
    </row>
    <row r="8" customFormat="false" ht="15" hidden="false" customHeight="false" outlineLevel="0" collapsed="false">
      <c r="A8" s="4" t="s">
        <v>151</v>
      </c>
      <c r="B8" s="28" t="n">
        <f aca="false">MIN(Plan_Supuestos!$D$22,Plan_Supuestos!$D$21*(B$4-1))</f>
        <v>0</v>
      </c>
      <c r="C8" s="28" t="n">
        <f aca="false">MIN(Plan_Supuestos!$D$22,Plan_Supuestos!$D$21*(C$4-1))</f>
        <v>0.015</v>
      </c>
      <c r="D8" s="28" t="n">
        <f aca="false">MIN(Plan_Supuestos!$D$22,Plan_Supuestos!$D$21*(D$4-1))</f>
        <v>0.03</v>
      </c>
      <c r="E8" s="28" t="n">
        <f aca="false">MIN(Plan_Supuestos!$D$22,Plan_Supuestos!$D$21*(E$4-1))</f>
        <v>0.045</v>
      </c>
      <c r="F8" s="28" t="n">
        <f aca="false">MIN(Plan_Supuestos!$D$22,Plan_Supuestos!$D$21*(F$4-1))</f>
        <v>0.06</v>
      </c>
      <c r="G8" s="28" t="n">
        <f aca="false">MIN(Plan_Supuestos!$D$22,Plan_Supuestos!$D$21*(G$4-1))</f>
        <v>0.075</v>
      </c>
      <c r="H8" s="28" t="n">
        <f aca="false">MIN(Plan_Supuestos!$D$22,Plan_Supuestos!$D$21*(H$4-1))</f>
        <v>0.09</v>
      </c>
      <c r="I8" s="28" t="n">
        <f aca="false">MIN(Plan_Supuestos!$D$22,Plan_Supuestos!$D$21*(I$4-1))</f>
        <v>0.105</v>
      </c>
      <c r="J8" s="28" t="n">
        <f aca="false">MIN(Plan_Supuestos!$D$22,Plan_Supuestos!$D$21*(J$4-1))</f>
        <v>0.12</v>
      </c>
      <c r="K8" s="28" t="n">
        <f aca="false">MIN(Plan_Supuestos!$D$22,Plan_Supuestos!$D$21*(K$4-1))</f>
        <v>0.135</v>
      </c>
      <c r="L8" s="28" t="n">
        <f aca="false">MIN(Plan_Supuestos!$D$22,Plan_Supuestos!$D$21*(L$4-1))</f>
        <v>0.15</v>
      </c>
      <c r="M8" s="28" t="n">
        <f aca="false">MIN(Plan_Supuestos!$D$22,Plan_Supuestos!$D$21*(M$4-1))</f>
        <v>0.165</v>
      </c>
      <c r="N8" s="28" t="n">
        <f aca="false">MIN(Plan_Supuestos!$D$22,Plan_Supuestos!$D$21*(N$4-1))</f>
        <v>0.18</v>
      </c>
      <c r="O8" s="28" t="n">
        <f aca="false">MIN(Plan_Supuestos!$D$22,Plan_Supuestos!$D$21*(O$4-1))</f>
        <v>0.195</v>
      </c>
      <c r="P8" s="28" t="n">
        <f aca="false">MIN(Plan_Supuestos!$D$22,Plan_Supuestos!$D$21*(P$4-1))</f>
        <v>0.21</v>
      </c>
      <c r="Q8" s="28" t="n">
        <f aca="false">MIN(Plan_Supuestos!$D$22,Plan_Supuestos!$D$21*(Q$4-1))</f>
        <v>0.225</v>
      </c>
      <c r="R8" s="28" t="n">
        <f aca="false">MIN(Plan_Supuestos!$D$22,Plan_Supuestos!$D$21*(R$4-1))</f>
        <v>0.24</v>
      </c>
      <c r="S8" s="28" t="n">
        <f aca="false">MIN(Plan_Supuestos!$D$22,Plan_Supuestos!$D$21*(S$4-1))</f>
        <v>0.25</v>
      </c>
      <c r="T8" s="28" t="n">
        <f aca="false">MIN(Plan_Supuestos!$D$22,Plan_Supuestos!$D$21*(T$4-1))</f>
        <v>0.25</v>
      </c>
      <c r="U8" s="28" t="n">
        <f aca="false">MIN(Plan_Supuestos!$D$22,Plan_Supuestos!$D$21*(U$4-1))</f>
        <v>0.25</v>
      </c>
      <c r="V8" s="28" t="n">
        <f aca="false">MIN(Plan_Supuestos!$D$22,Plan_Supuestos!$D$21*(V$4-1))</f>
        <v>0.25</v>
      </c>
      <c r="W8" s="28" t="n">
        <f aca="false">MIN(Plan_Supuestos!$D$22,Plan_Supuestos!$D$21*(W$4-1))</f>
        <v>0.25</v>
      </c>
      <c r="X8" s="28" t="n">
        <f aca="false">MIN(Plan_Supuestos!$D$22,Plan_Supuestos!$D$21*(X$4-1))</f>
        <v>0.25</v>
      </c>
      <c r="Y8" s="28" t="n">
        <f aca="false">MIN(Plan_Supuestos!$D$22,Plan_Supuestos!$D$21*(Y$4-1))</f>
        <v>0.25</v>
      </c>
    </row>
    <row r="9" customFormat="false" ht="15" hidden="false" customHeight="false" outlineLevel="0" collapsed="false">
      <c r="A9" s="4" t="s">
        <v>152</v>
      </c>
      <c r="B9" s="6" t="n">
        <f aca="false">Plan_Supuestos!$D$17*(B7/Plan_Supuestos!$B$6)^Plan_Supuestos!$D$18*(1-B8)*SUMPRODUCT(B17:B22,Plan_Supuestos!$K$30:$K$35)</f>
        <v>53.35</v>
      </c>
      <c r="C9" s="6" t="n">
        <f aca="false">Plan_Supuestos!$D$17*(C7/Plan_Supuestos!$B$6)^Plan_Supuestos!$D$18*(1-C8)*SUMPRODUCT(C17:C22,Plan_Supuestos!$K$30:$K$35)</f>
        <v>54.015100969907</v>
      </c>
      <c r="D9" s="6" t="n">
        <f aca="false">Plan_Supuestos!$D$17*(D7/Plan_Supuestos!$B$6)^Plan_Supuestos!$D$18*(1-D8)*SUMPRODUCT(D17:D22,Plan_Supuestos!$K$30:$K$35)</f>
        <v>54.6734884075143</v>
      </c>
      <c r="E9" s="6" t="n">
        <f aca="false">Plan_Supuestos!$D$17*(E7/Plan_Supuestos!$B$6)^Plan_Supuestos!$D$18*(1-E8)*SUMPRODUCT(E17:E22,Plan_Supuestos!$K$30:$K$35)</f>
        <v>55.3243473620553</v>
      </c>
      <c r="F9" s="6" t="n">
        <f aca="false">Plan_Supuestos!$D$17*(F7/Plan_Supuestos!$B$6)^Plan_Supuestos!$D$18*(1-F8)*SUMPRODUCT(F17:F22,Plan_Supuestos!$K$30:$K$35)</f>
        <v>55.9668264510695</v>
      </c>
      <c r="G9" s="6" t="n">
        <f aca="false">Plan_Supuestos!$D$17*(G7/Plan_Supuestos!$B$6)^Plan_Supuestos!$D$18*(1-G8)*SUMPRODUCT(G17:G22,Plan_Supuestos!$K$30:$K$35)</f>
        <v>56.6000365784064</v>
      </c>
      <c r="H9" s="6" t="n">
        <f aca="false">Plan_Supuestos!$D$17*(H7/Plan_Supuestos!$B$6)^Plan_Supuestos!$D$18*(1-H8)*SUMPRODUCT(H17:H22,Plan_Supuestos!$K$30:$K$35)</f>
        <v>57.2230496120549</v>
      </c>
      <c r="I9" s="6" t="n">
        <f aca="false">Plan_Supuestos!$D$17*(I7/Plan_Supuestos!$B$6)^Plan_Supuestos!$D$18*(1-I8)*SUMPRODUCT(I17:I22,Plan_Supuestos!$K$30:$K$35)</f>
        <v>57.8348970206254</v>
      </c>
      <c r="J9" s="6" t="n">
        <f aca="false">Plan_Supuestos!$D$17*(J7/Plan_Supuestos!$B$6)^Plan_Supuestos!$D$18*(1-J8)*SUMPRODUCT(J17:J22,Plan_Supuestos!$K$30:$K$35)</f>
        <v>58.4345684672781</v>
      </c>
      <c r="K9" s="6" t="n">
        <f aca="false">Plan_Supuestos!$D$17*(K7/Plan_Supuestos!$B$6)^Plan_Supuestos!$D$18*(1-K8)*SUMPRODUCT(K17:K22,Plan_Supuestos!$K$30:$K$35)</f>
        <v>59.0210103598586</v>
      </c>
      <c r="L9" s="6" t="n">
        <f aca="false">Plan_Supuestos!$D$17*(L7/Plan_Supuestos!$B$6)^Plan_Supuestos!$D$18*(1-L8)*SUMPRODUCT(L17:L22,Plan_Supuestos!$K$30:$K$35)</f>
        <v>59.5931243559647</v>
      </c>
      <c r="M9" s="6" t="n">
        <f aca="false">Plan_Supuestos!$D$17*(M7/Plan_Supuestos!$B$6)^Plan_Supuestos!$D$18*(1-M8)*SUMPRODUCT(M17:M22,Plan_Supuestos!$K$30:$K$35)</f>
        <v>60.1497658216365</v>
      </c>
      <c r="N9" s="6" t="n">
        <f aca="false">Plan_Supuestos!$D$17*(N7/Plan_Supuestos!$B$6)^Plan_Supuestos!$D$18*(1-N8)*SUMPRODUCT(N17:N22,Plan_Supuestos!$K$30:$K$35)</f>
        <v>60.3206473720398</v>
      </c>
      <c r="O9" s="6" t="n">
        <f aca="false">Plan_Supuestos!$D$17*(O7/Plan_Supuestos!$B$6)^Plan_Supuestos!$D$18*(1-O8)*SUMPRODUCT(O17:O22,Plan_Supuestos!$K$30:$K$35)</f>
        <v>60.4717724118709</v>
      </c>
      <c r="P9" s="6" t="n">
        <f aca="false">Plan_Supuestos!$D$17*(P7/Plan_Supuestos!$B$6)^Plan_Supuestos!$D$18*(1-P8)*SUMPRODUCT(P17:P22,Plan_Supuestos!$K$30:$K$35)</f>
        <v>60.6022271380254</v>
      </c>
      <c r="Q9" s="6" t="n">
        <f aca="false">Plan_Supuestos!$D$17*(Q7/Plan_Supuestos!$B$6)^Plan_Supuestos!$D$18*(1-Q8)*SUMPRODUCT(Q17:Q22,Plan_Supuestos!$K$30:$K$35)</f>
        <v>60.7110678957864</v>
      </c>
      <c r="R9" s="6" t="n">
        <f aca="false">Plan_Supuestos!$D$17*(R7/Plan_Supuestos!$B$6)^Plan_Supuestos!$D$18*(1-R8)*SUMPRODUCT(R17:R22,Plan_Supuestos!$K$30:$K$35)</f>
        <v>60.7973203241181</v>
      </c>
      <c r="S9" s="6" t="n">
        <f aca="false">Plan_Supuestos!$D$17*(S7/Plan_Supuestos!$B$6)^Plan_Supuestos!$D$18*(1-S8)*SUMPRODUCT(S17:S22,Plan_Supuestos!$K$30:$K$35)</f>
        <v>61.2684347095401</v>
      </c>
      <c r="T9" s="6" t="n">
        <f aca="false">Plan_Supuestos!$D$17*(T7/Plan_Supuestos!$B$6)^Plan_Supuestos!$D$18*(1-T8)*SUMPRODUCT(T17:T22,Plan_Supuestos!$K$30:$K$35)</f>
        <v>62.5664423920059</v>
      </c>
      <c r="U9" s="6" t="n">
        <f aca="false">Plan_Supuestos!$D$17*(U7/Plan_Supuestos!$B$6)^Plan_Supuestos!$D$18*(1-U8)*SUMPRODUCT(U17:U22,Plan_Supuestos!$K$30:$K$35)</f>
        <v>63.8919491276422</v>
      </c>
      <c r="V9" s="6" t="n">
        <f aca="false">Plan_Supuestos!$D$17*(V7/Plan_Supuestos!$B$6)^Plan_Supuestos!$D$18*(1-V8)*SUMPRODUCT(V17:V22,Plan_Supuestos!$K$30:$K$35)</f>
        <v>65.2455375</v>
      </c>
      <c r="W9" s="6" t="n">
        <f aca="false">Plan_Supuestos!$D$17*(W7/Plan_Supuestos!$B$6)^Plan_Supuestos!$D$18*(1-W8)*SUMPRODUCT(W17:W22,Plan_Supuestos!$K$30:$K$35)</f>
        <v>66.6278024350046</v>
      </c>
      <c r="X9" s="6" t="n">
        <f aca="false">Plan_Supuestos!$D$17*(X7/Plan_Supuestos!$B$6)^Plan_Supuestos!$D$18*(1-X8)*SUMPRODUCT(X17:X22,Plan_Supuestos!$K$30:$K$35)</f>
        <v>68.0393514624353</v>
      </c>
      <c r="Y9" s="6" t="n">
        <f aca="false">Plan_Supuestos!$D$17*(Y7/Plan_Supuestos!$B$6)^Plan_Supuestos!$D$18*(1-Y8)*SUMPRODUCT(Y17:Y22,Plan_Supuestos!$K$30:$K$35)</f>
        <v>69.4808049829459</v>
      </c>
    </row>
    <row r="10" customFormat="false" ht="15" hidden="false" customHeight="false" outlineLevel="0" collapsed="false">
      <c r="A10" s="4" t="s">
        <v>153</v>
      </c>
      <c r="B10" s="5" t="n">
        <f aca="false">B7/B9</f>
        <v>168.697282099344</v>
      </c>
      <c r="C10" s="5" t="n">
        <f aca="false">C7/C9</f>
        <v>191.613082529758</v>
      </c>
      <c r="D10" s="5" t="n">
        <f aca="false">D7/D9</f>
        <v>217.701492015353</v>
      </c>
      <c r="E10" s="5" t="n">
        <f aca="false">E7/E9</f>
        <v>247.411413828769</v>
      </c>
      <c r="F10" s="5" t="n">
        <f aca="false">F7/F9</f>
        <v>281.256902493159</v>
      </c>
      <c r="G10" s="5" t="n">
        <f aca="false">G7/G9</f>
        <v>319.826907928293</v>
      </c>
      <c r="H10" s="5" t="n">
        <f aca="false">H7/H9</f>
        <v>363.796530100337</v>
      </c>
      <c r="I10" s="5" t="n">
        <f aca="false">I7/I9</f>
        <v>413.940028555443</v>
      </c>
      <c r="J10" s="5" t="n">
        <f aca="false">J7/J9</f>
        <v>471.145872811028</v>
      </c>
      <c r="K10" s="5" t="n">
        <f aca="false">K7/K9</f>
        <v>536.434168683979</v>
      </c>
      <c r="L10" s="5" t="n">
        <f aca="false">L7/L9</f>
        <v>610.976853703541</v>
      </c>
      <c r="M10" s="5" t="n">
        <f aca="false">M7/M9</f>
        <v>696.121123542517</v>
      </c>
      <c r="N10" s="5" t="n">
        <f aca="false">N7/N9</f>
        <v>798.271455083607</v>
      </c>
      <c r="O10" s="5" t="n">
        <f aca="false">O7/O9</f>
        <v>915.717968616749</v>
      </c>
      <c r="P10" s="5" t="n">
        <f aca="false">P7/P9</f>
        <v>1050.80877201695</v>
      </c>
      <c r="Q10" s="5" t="n">
        <f aca="false">Q7/Q9</f>
        <v>1206.26365505825</v>
      </c>
      <c r="R10" s="5" t="n">
        <f aca="false">R7/R9</f>
        <v>1385.23519478902</v>
      </c>
      <c r="S10" s="5" t="n">
        <f aca="false">S7/S9</f>
        <v>1580.77118340391</v>
      </c>
      <c r="T10" s="5" t="n">
        <f aca="false">T7/T9</f>
        <v>1780.17285607246</v>
      </c>
      <c r="U10" s="5" t="n">
        <f aca="false">U7/U9</f>
        <v>2004.72745883011</v>
      </c>
      <c r="V10" s="5" t="n">
        <f aca="false">V7/V9</f>
        <v>2257.60783312598</v>
      </c>
      <c r="W10" s="5" t="n">
        <f aca="false">W7/W9</f>
        <v>2542.38704904361</v>
      </c>
      <c r="X10" s="5" t="n">
        <f aca="false">X7/X9</f>
        <v>2863.08889094999</v>
      </c>
      <c r="Y10" s="5" t="n">
        <f aca="false">Y7/Y9</f>
        <v>3224.24471150642</v>
      </c>
    </row>
    <row r="11" customFormat="false" ht="15" hidden="false" customHeight="false" outlineLevel="0" collapsed="false">
      <c r="A11" s="4" t="s">
        <v>154</v>
      </c>
      <c r="B11" s="5" t="n">
        <f aca="false">B10*Plan_Supuestos!$D$23</f>
        <v>33.7394564198688</v>
      </c>
      <c r="C11" s="5" t="n">
        <f aca="false">C10*Plan_Supuestos!$D$23</f>
        <v>38.3226165059516</v>
      </c>
      <c r="D11" s="5" t="n">
        <f aca="false">D10*Plan_Supuestos!$D$23</f>
        <v>43.5402984030707</v>
      </c>
      <c r="E11" s="5" t="n">
        <f aca="false">E10*Plan_Supuestos!$D$23</f>
        <v>49.4822827657537</v>
      </c>
      <c r="F11" s="5" t="n">
        <f aca="false">F10*Plan_Supuestos!$D$23</f>
        <v>56.2513804986318</v>
      </c>
      <c r="G11" s="5" t="n">
        <f aca="false">G10*Plan_Supuestos!$D$23</f>
        <v>63.9653815856586</v>
      </c>
      <c r="H11" s="5" t="n">
        <f aca="false">H10*Plan_Supuestos!$D$23</f>
        <v>72.7593060200673</v>
      </c>
      <c r="I11" s="5" t="n">
        <f aca="false">I10*Plan_Supuestos!$D$23</f>
        <v>82.7880057110885</v>
      </c>
      <c r="J11" s="5" t="n">
        <f aca="false">J10*Plan_Supuestos!$D$23</f>
        <v>94.2291745622057</v>
      </c>
      <c r="K11" s="5" t="n">
        <f aca="false">K10*Plan_Supuestos!$D$23</f>
        <v>107.286833736796</v>
      </c>
      <c r="L11" s="5" t="n">
        <f aca="false">L10*Plan_Supuestos!$D$23</f>
        <v>122.195370740708</v>
      </c>
      <c r="M11" s="5" t="n">
        <f aca="false">M10*Plan_Supuestos!$D$23</f>
        <v>139.224224708503</v>
      </c>
      <c r="N11" s="5" t="n">
        <f aca="false">N10*Plan_Supuestos!$D$23</f>
        <v>159.654291016721</v>
      </c>
      <c r="O11" s="5" t="n">
        <f aca="false">O10*Plan_Supuestos!$D$23</f>
        <v>183.14359372335</v>
      </c>
      <c r="P11" s="5" t="n">
        <f aca="false">P10*Plan_Supuestos!$D$23</f>
        <v>210.16175440339</v>
      </c>
      <c r="Q11" s="5" t="n">
        <f aca="false">Q10*Plan_Supuestos!$D$23</f>
        <v>241.25273101165</v>
      </c>
      <c r="R11" s="5" t="n">
        <f aca="false">R10*Plan_Supuestos!$D$23</f>
        <v>277.047038957803</v>
      </c>
      <c r="S11" s="5" t="n">
        <f aca="false">S10*Plan_Supuestos!$D$23</f>
        <v>316.154236680781</v>
      </c>
      <c r="T11" s="5" t="n">
        <f aca="false">T10*Plan_Supuestos!$D$23</f>
        <v>356.034571214492</v>
      </c>
      <c r="U11" s="5" t="n">
        <f aca="false">U10*Plan_Supuestos!$D$23</f>
        <v>400.945491766022</v>
      </c>
      <c r="V11" s="5" t="n">
        <f aca="false">V10*Plan_Supuestos!$D$23</f>
        <v>451.521566625196</v>
      </c>
      <c r="W11" s="5" t="n">
        <f aca="false">W10*Plan_Supuestos!$D$23</f>
        <v>508.477409808722</v>
      </c>
      <c r="X11" s="5" t="n">
        <f aca="false">X10*Plan_Supuestos!$D$23</f>
        <v>572.617778189999</v>
      </c>
      <c r="Y11" s="5" t="n">
        <f aca="false">Y10*Plan_Supuestos!$D$23</f>
        <v>644.848942301283</v>
      </c>
    </row>
    <row r="12" customFormat="false" ht="15" hidden="false" customHeight="false" outlineLevel="0" collapsed="false">
      <c r="A12" s="8" t="s">
        <v>155</v>
      </c>
      <c r="B12" s="18" t="n">
        <f aca="false">B10+B11</f>
        <v>202.436738519213</v>
      </c>
      <c r="C12" s="18" t="n">
        <f aca="false">C10+C11</f>
        <v>229.93569903571</v>
      </c>
      <c r="D12" s="18" t="n">
        <f aca="false">D10+D11</f>
        <v>261.241790418424</v>
      </c>
      <c r="E12" s="18" t="n">
        <f aca="false">E10+E11</f>
        <v>296.893696594522</v>
      </c>
      <c r="F12" s="18" t="n">
        <f aca="false">F10+F11</f>
        <v>337.508282991791</v>
      </c>
      <c r="G12" s="18" t="n">
        <f aca="false">G10+G11</f>
        <v>383.792289513951</v>
      </c>
      <c r="H12" s="18" t="n">
        <f aca="false">H10+H11</f>
        <v>436.555836120404</v>
      </c>
      <c r="I12" s="18" t="n">
        <f aca="false">I10+I11</f>
        <v>496.728034266531</v>
      </c>
      <c r="J12" s="18" t="n">
        <f aca="false">J10+J11</f>
        <v>565.375047373234</v>
      </c>
      <c r="K12" s="18" t="n">
        <f aca="false">K10+K11</f>
        <v>643.721002420775</v>
      </c>
      <c r="L12" s="18" t="n">
        <f aca="false">L10+L11</f>
        <v>733.17222444425</v>
      </c>
      <c r="M12" s="18" t="n">
        <f aca="false">M10+M11</f>
        <v>835.34534825102</v>
      </c>
      <c r="N12" s="18" t="n">
        <f aca="false">N10+N11</f>
        <v>957.925746100328</v>
      </c>
      <c r="O12" s="18" t="n">
        <f aca="false">O10+O11</f>
        <v>1098.8615623401</v>
      </c>
      <c r="P12" s="18" t="n">
        <f aca="false">P10+P11</f>
        <v>1260.97052642034</v>
      </c>
      <c r="Q12" s="18" t="n">
        <f aca="false">Q10+Q11</f>
        <v>1447.5163860699</v>
      </c>
      <c r="R12" s="18" t="n">
        <f aca="false">R10+R11</f>
        <v>1662.28223374682</v>
      </c>
      <c r="S12" s="18" t="n">
        <f aca="false">S10+S11</f>
        <v>1896.92542008469</v>
      </c>
      <c r="T12" s="18" t="n">
        <f aca="false">T10+T11</f>
        <v>2136.20742728695</v>
      </c>
      <c r="U12" s="18" t="n">
        <f aca="false">U10+U11</f>
        <v>2405.67295059613</v>
      </c>
      <c r="V12" s="18" t="n">
        <f aca="false">V10+V11</f>
        <v>2709.12939975118</v>
      </c>
      <c r="W12" s="18" t="n">
        <f aca="false">W10+W11</f>
        <v>3050.86445885233</v>
      </c>
      <c r="X12" s="18" t="n">
        <f aca="false">X10+X11</f>
        <v>3435.70666913999</v>
      </c>
      <c r="Y12" s="18" t="n">
        <f aca="false">Y10+Y11</f>
        <v>3869.0936538077</v>
      </c>
    </row>
    <row r="13" customFormat="false" ht="15" hidden="false" customHeight="false" outlineLevel="0" collapsed="false">
      <c r="A13" s="4" t="s">
        <v>156</v>
      </c>
      <c r="B13" s="7" t="n">
        <f aca="false">B12/30</f>
        <v>6.74789128397376</v>
      </c>
      <c r="C13" s="7" t="n">
        <f aca="false">C12/30</f>
        <v>7.66452330119033</v>
      </c>
      <c r="D13" s="7" t="n">
        <f aca="false">D12/30</f>
        <v>8.70805968061414</v>
      </c>
      <c r="E13" s="7" t="n">
        <f aca="false">E12/30</f>
        <v>9.89645655315074</v>
      </c>
      <c r="F13" s="7" t="n">
        <f aca="false">F12/30</f>
        <v>11.2502760997264</v>
      </c>
      <c r="G13" s="7" t="n">
        <f aca="false">G12/30</f>
        <v>12.7930763171317</v>
      </c>
      <c r="H13" s="7" t="n">
        <f aca="false">H12/30</f>
        <v>14.5518612040135</v>
      </c>
      <c r="I13" s="7" t="n">
        <f aca="false">I12/30</f>
        <v>16.5576011422177</v>
      </c>
      <c r="J13" s="7" t="n">
        <f aca="false">J12/30</f>
        <v>18.8458349124411</v>
      </c>
      <c r="K13" s="7" t="n">
        <f aca="false">K12/30</f>
        <v>21.4573667473592</v>
      </c>
      <c r="L13" s="7" t="n">
        <f aca="false">L12/30</f>
        <v>24.4390741481417</v>
      </c>
      <c r="M13" s="7" t="n">
        <f aca="false">M12/30</f>
        <v>27.8448449417007</v>
      </c>
      <c r="N13" s="7" t="n">
        <f aca="false">N12/30</f>
        <v>31.9308582033443</v>
      </c>
      <c r="O13" s="7" t="n">
        <f aca="false">O12/30</f>
        <v>36.62871874467</v>
      </c>
      <c r="P13" s="7" t="n">
        <f aca="false">P12/30</f>
        <v>42.032350880678</v>
      </c>
      <c r="Q13" s="7" t="n">
        <f aca="false">Q12/30</f>
        <v>48.25054620233</v>
      </c>
      <c r="R13" s="7" t="n">
        <f aca="false">R12/30</f>
        <v>55.4094077915607</v>
      </c>
      <c r="S13" s="7" t="n">
        <f aca="false">S12/30</f>
        <v>63.2308473361562</v>
      </c>
      <c r="T13" s="7" t="n">
        <f aca="false">T12/30</f>
        <v>71.2069142428984</v>
      </c>
      <c r="U13" s="7" t="n">
        <f aca="false">U12/30</f>
        <v>80.1890983532044</v>
      </c>
      <c r="V13" s="7" t="n">
        <f aca="false">V12/30</f>
        <v>90.3043133250392</v>
      </c>
      <c r="W13" s="7" t="n">
        <f aca="false">W12/30</f>
        <v>101.695481961744</v>
      </c>
      <c r="X13" s="7" t="n">
        <f aca="false">X12/30</f>
        <v>114.523555638</v>
      </c>
      <c r="Y13" s="7" t="n">
        <f aca="false">Y12/30</f>
        <v>128.969788460257</v>
      </c>
    </row>
    <row r="14" customFormat="false" ht="15" hidden="false" customHeight="false" outlineLevel="0" collapsed="false">
      <c r="A14" s="4" t="s">
        <v>157</v>
      </c>
      <c r="B14" s="5" t="n">
        <f aca="false">Plan_Supuestos!$D$24*IF(B$4&gt;12,INDEX($B12:$Y12,B$4-12),Plan_Supuestos!$B$7)</f>
        <v>9.6</v>
      </c>
      <c r="C14" s="5" t="n">
        <f aca="false">Plan_Supuestos!$D$24*IF(C$4&gt;12,INDEX($B12:$Y12,C$4-12),Plan_Supuestos!$B$7)</f>
        <v>9.6</v>
      </c>
      <c r="D14" s="5" t="n">
        <f aca="false">Plan_Supuestos!$D$24*IF(D$4&gt;12,INDEX($B12:$Y12,D$4-12),Plan_Supuestos!$B$7)</f>
        <v>9.6</v>
      </c>
      <c r="E14" s="5" t="n">
        <f aca="false">Plan_Supuestos!$D$24*IF(E$4&gt;12,INDEX($B12:$Y12,E$4-12),Plan_Supuestos!$B$7)</f>
        <v>9.6</v>
      </c>
      <c r="F14" s="5" t="n">
        <f aca="false">Plan_Supuestos!$D$24*IF(F$4&gt;12,INDEX($B12:$Y12,F$4-12),Plan_Supuestos!$B$7)</f>
        <v>9.6</v>
      </c>
      <c r="G14" s="5" t="n">
        <f aca="false">Plan_Supuestos!$D$24*IF(G$4&gt;12,INDEX($B12:$Y12,G$4-12),Plan_Supuestos!$B$7)</f>
        <v>9.6</v>
      </c>
      <c r="H14" s="5" t="n">
        <f aca="false">Plan_Supuestos!$D$24*IF(H$4&gt;12,INDEX($B12:$Y12,H$4-12),Plan_Supuestos!$B$7)</f>
        <v>9.6</v>
      </c>
      <c r="I14" s="5" t="n">
        <f aca="false">Plan_Supuestos!$D$24*IF(I$4&gt;12,INDEX($B12:$Y12,I$4-12),Plan_Supuestos!$B$7)</f>
        <v>9.6</v>
      </c>
      <c r="J14" s="5" t="n">
        <f aca="false">Plan_Supuestos!$D$24*IF(J$4&gt;12,INDEX($B12:$Y12,J$4-12),Plan_Supuestos!$B$7)</f>
        <v>9.6</v>
      </c>
      <c r="K14" s="5" t="n">
        <f aca="false">Plan_Supuestos!$D$24*IF(K$4&gt;12,INDEX($B12:$Y12,K$4-12),Plan_Supuestos!$B$7)</f>
        <v>9.6</v>
      </c>
      <c r="L14" s="5" t="n">
        <f aca="false">Plan_Supuestos!$D$24*IF(L$4&gt;12,INDEX($B12:$Y12,L$4-12),Plan_Supuestos!$B$7)</f>
        <v>9.6</v>
      </c>
      <c r="M14" s="5" t="n">
        <f aca="false">Plan_Supuestos!$D$24*IF(M$4&gt;12,INDEX($B12:$Y12,M$4-12),Plan_Supuestos!$B$7)</f>
        <v>9.6</v>
      </c>
      <c r="N14" s="5" t="n">
        <f aca="false">Plan_Supuestos!$D$24*IF(N$4&gt;12,INDEX($B12:$Y12,N$4-12),Plan_Supuestos!$B$7)</f>
        <v>32.389878163074</v>
      </c>
      <c r="O14" s="5" t="n">
        <f aca="false">Plan_Supuestos!$D$24*IF(O$4&gt;12,INDEX($B12:$Y12,O$4-12),Plan_Supuestos!$B$7)</f>
        <v>36.7897118457136</v>
      </c>
      <c r="P14" s="5" t="n">
        <f aca="false">Plan_Supuestos!$D$24*IF(P$4&gt;12,INDEX($B12:$Y12,P$4-12),Plan_Supuestos!$B$7)</f>
        <v>41.7986864669479</v>
      </c>
      <c r="Q14" s="5" t="n">
        <f aca="false">Plan_Supuestos!$D$24*IF(Q$4&gt;12,INDEX($B12:$Y12,Q$4-12),Plan_Supuestos!$B$7)</f>
        <v>47.5029914551236</v>
      </c>
      <c r="R14" s="5" t="n">
        <f aca="false">Plan_Supuestos!$D$24*IF(R$4&gt;12,INDEX($B12:$Y12,R$4-12),Plan_Supuestos!$B$7)</f>
        <v>54.0013252786865</v>
      </c>
      <c r="S14" s="5" t="n">
        <f aca="false">Plan_Supuestos!$D$24*IF(S$4&gt;12,INDEX($B12:$Y12,S$4-12),Plan_Supuestos!$B$7)</f>
        <v>61.4067663222322</v>
      </c>
      <c r="T14" s="5" t="n">
        <f aca="false">Plan_Supuestos!$D$24*IF(T$4&gt;12,INDEX($B12:$Y12,T$4-12),Plan_Supuestos!$B$7)</f>
        <v>69.8489337792646</v>
      </c>
      <c r="U14" s="5" t="n">
        <f aca="false">Plan_Supuestos!$D$24*IF(U$4&gt;12,INDEX($B12:$Y12,U$4-12),Plan_Supuestos!$B$7)</f>
        <v>79.476485482645</v>
      </c>
      <c r="V14" s="5" t="n">
        <f aca="false">Plan_Supuestos!$D$24*IF(V$4&gt;12,INDEX($B12:$Y12,V$4-12),Plan_Supuestos!$B$7)</f>
        <v>90.4600075797175</v>
      </c>
      <c r="W14" s="5" t="n">
        <f aca="false">Plan_Supuestos!$D$24*IF(W$4&gt;12,INDEX($B12:$Y12,W$4-12),Plan_Supuestos!$B$7)</f>
        <v>102.995360387324</v>
      </c>
      <c r="X14" s="5" t="n">
        <f aca="false">Plan_Supuestos!$D$24*IF(X$4&gt;12,INDEX($B12:$Y12,X$4-12),Plan_Supuestos!$B$7)</f>
        <v>117.30755591108</v>
      </c>
      <c r="Y14" s="5" t="n">
        <f aca="false">Plan_Supuestos!$D$24*IF(Y$4&gt;12,INDEX($B12:$Y12,Y$4-12),Plan_Supuestos!$B$7)</f>
        <v>133.655255720163</v>
      </c>
    </row>
    <row r="15" customFormat="false" ht="15" hidden="false" customHeight="false" outlineLevel="0" collapsed="false">
      <c r="A15" s="4" t="s">
        <v>158</v>
      </c>
      <c r="B15" s="5" t="n">
        <f aca="false">B12+B14</f>
        <v>212.036738519213</v>
      </c>
      <c r="C15" s="5" t="n">
        <f aca="false">C12+C14</f>
        <v>239.53569903571</v>
      </c>
      <c r="D15" s="5" t="n">
        <f aca="false">D12+D14</f>
        <v>270.841790418424</v>
      </c>
      <c r="E15" s="5" t="n">
        <f aca="false">E12+E14</f>
        <v>306.493696594522</v>
      </c>
      <c r="F15" s="5" t="n">
        <f aca="false">F12+F14</f>
        <v>347.108282991791</v>
      </c>
      <c r="G15" s="5" t="n">
        <f aca="false">G12+G14</f>
        <v>393.392289513951</v>
      </c>
      <c r="H15" s="5" t="n">
        <f aca="false">H12+H14</f>
        <v>446.155836120404</v>
      </c>
      <c r="I15" s="5" t="n">
        <f aca="false">I12+I14</f>
        <v>506.328034266531</v>
      </c>
      <c r="J15" s="5" t="n">
        <f aca="false">J12+J14</f>
        <v>574.975047373234</v>
      </c>
      <c r="K15" s="5" t="n">
        <f aca="false">K12+K14</f>
        <v>653.321002420775</v>
      </c>
      <c r="L15" s="5" t="n">
        <f aca="false">L12+L14</f>
        <v>742.77222444425</v>
      </c>
      <c r="M15" s="5" t="n">
        <f aca="false">M12+M14</f>
        <v>844.94534825102</v>
      </c>
      <c r="N15" s="5" t="n">
        <f aca="false">N12+N14</f>
        <v>990.315624263402</v>
      </c>
      <c r="O15" s="5" t="n">
        <f aca="false">O12+O14</f>
        <v>1135.65127418581</v>
      </c>
      <c r="P15" s="5" t="n">
        <f aca="false">P12+P14</f>
        <v>1302.76921288729</v>
      </c>
      <c r="Q15" s="5" t="n">
        <f aca="false">Q12+Q14</f>
        <v>1495.01937752502</v>
      </c>
      <c r="R15" s="5" t="n">
        <f aca="false">R12+R14</f>
        <v>1716.28355902551</v>
      </c>
      <c r="S15" s="5" t="n">
        <f aca="false">S12+S14</f>
        <v>1958.33218640692</v>
      </c>
      <c r="T15" s="5" t="n">
        <f aca="false">T12+T14</f>
        <v>2206.05636106622</v>
      </c>
      <c r="U15" s="5" t="n">
        <f aca="false">U12+U14</f>
        <v>2485.14943607878</v>
      </c>
      <c r="V15" s="5" t="n">
        <f aca="false">V12+V14</f>
        <v>2799.58940733089</v>
      </c>
      <c r="W15" s="5" t="n">
        <f aca="false">W12+W14</f>
        <v>3153.85981923966</v>
      </c>
      <c r="X15" s="5" t="n">
        <f aca="false">X12+X14</f>
        <v>3553.01422505107</v>
      </c>
      <c r="Y15" s="5" t="n">
        <f aca="false">Y12+Y14</f>
        <v>4002.74890952786</v>
      </c>
    </row>
    <row r="16" customFormat="false" ht="15" hidden="false" customHeight="false" outlineLevel="0" collapsed="false">
      <c r="A16" s="4" t="s">
        <v>159</v>
      </c>
      <c r="B16" s="28" t="n">
        <f aca="false">MIN(1,(B$4-1)/11)</f>
        <v>0</v>
      </c>
      <c r="C16" s="28" t="n">
        <f aca="false">MIN(1,(C$4-1)/11)</f>
        <v>0.0909090909090909</v>
      </c>
      <c r="D16" s="28" t="n">
        <f aca="false">MIN(1,(D$4-1)/11)</f>
        <v>0.181818181818182</v>
      </c>
      <c r="E16" s="28" t="n">
        <f aca="false">MIN(1,(E$4-1)/11)</f>
        <v>0.272727272727273</v>
      </c>
      <c r="F16" s="28" t="n">
        <f aca="false">MIN(1,(F$4-1)/11)</f>
        <v>0.363636363636364</v>
      </c>
      <c r="G16" s="28" t="n">
        <f aca="false">MIN(1,(G$4-1)/11)</f>
        <v>0.454545454545455</v>
      </c>
      <c r="H16" s="28" t="n">
        <f aca="false">MIN(1,(H$4-1)/11)</f>
        <v>0.545454545454545</v>
      </c>
      <c r="I16" s="28" t="n">
        <f aca="false">MIN(1,(I$4-1)/11)</f>
        <v>0.636363636363636</v>
      </c>
      <c r="J16" s="28" t="n">
        <f aca="false">MIN(1,(J$4-1)/11)</f>
        <v>0.727272727272727</v>
      </c>
      <c r="K16" s="28" t="n">
        <f aca="false">MIN(1,(K$4-1)/11)</f>
        <v>0.818181818181818</v>
      </c>
      <c r="L16" s="28" t="n">
        <f aca="false">MIN(1,(L$4-1)/11)</f>
        <v>0.909090909090909</v>
      </c>
      <c r="M16" s="28" t="n">
        <f aca="false">MIN(1,(M$4-1)/11)</f>
        <v>1</v>
      </c>
      <c r="N16" s="28" t="n">
        <f aca="false">MIN(1,(N$4-1)/11)</f>
        <v>1</v>
      </c>
      <c r="O16" s="28" t="n">
        <f aca="false">MIN(1,(O$4-1)/11)</f>
        <v>1</v>
      </c>
      <c r="P16" s="28" t="n">
        <f aca="false">MIN(1,(P$4-1)/11)</f>
        <v>1</v>
      </c>
      <c r="Q16" s="28" t="n">
        <f aca="false">MIN(1,(Q$4-1)/11)</f>
        <v>1</v>
      </c>
      <c r="R16" s="28" t="n">
        <f aca="false">MIN(1,(R$4-1)/11)</f>
        <v>1</v>
      </c>
      <c r="S16" s="28" t="n">
        <f aca="false">MIN(1,(S$4-1)/11)</f>
        <v>1</v>
      </c>
      <c r="T16" s="28" t="n">
        <f aca="false">MIN(1,(T$4-1)/11)</f>
        <v>1</v>
      </c>
      <c r="U16" s="28" t="n">
        <f aca="false">MIN(1,(U$4-1)/11)</f>
        <v>1</v>
      </c>
      <c r="V16" s="28" t="n">
        <f aca="false">MIN(1,(V$4-1)/11)</f>
        <v>1</v>
      </c>
      <c r="W16" s="28" t="n">
        <f aca="false">MIN(1,(W$4-1)/11)</f>
        <v>1</v>
      </c>
      <c r="X16" s="28" t="n">
        <f aca="false">MIN(1,(X$4-1)/11)</f>
        <v>1</v>
      </c>
      <c r="Y16" s="28" t="n">
        <f aca="false">MIN(1,(Y$4-1)/11)</f>
        <v>1</v>
      </c>
    </row>
    <row r="17" customFormat="false" ht="15" hidden="false" customHeight="false" outlineLevel="0" collapsed="false">
      <c r="A17" s="4" t="s">
        <v>160</v>
      </c>
      <c r="B17" s="28" t="n">
        <f aca="false">1-SUM(B18:B22)</f>
        <v>0.82</v>
      </c>
      <c r="C17" s="28" t="n">
        <f aca="false">1-SUM(C18:C22)</f>
        <v>0.81</v>
      </c>
      <c r="D17" s="28" t="n">
        <f aca="false">1-SUM(D18:D22)</f>
        <v>0.8</v>
      </c>
      <c r="E17" s="28" t="n">
        <f aca="false">1-SUM(E18:E22)</f>
        <v>0.79</v>
      </c>
      <c r="F17" s="28" t="n">
        <f aca="false">1-SUM(F18:F22)</f>
        <v>0.78</v>
      </c>
      <c r="G17" s="28" t="n">
        <f aca="false">1-SUM(G18:G22)</f>
        <v>0.77</v>
      </c>
      <c r="H17" s="28" t="n">
        <f aca="false">1-SUM(H18:H22)</f>
        <v>0.76</v>
      </c>
      <c r="I17" s="28" t="n">
        <f aca="false">1-SUM(I18:I22)</f>
        <v>0.75</v>
      </c>
      <c r="J17" s="28" t="n">
        <f aca="false">1-SUM(J18:J22)</f>
        <v>0.74</v>
      </c>
      <c r="K17" s="28" t="n">
        <f aca="false">1-SUM(K18:K22)</f>
        <v>0.73</v>
      </c>
      <c r="L17" s="28" t="n">
        <f aca="false">1-SUM(L18:L22)</f>
        <v>0.72</v>
      </c>
      <c r="M17" s="28" t="n">
        <f aca="false">1-SUM(M18:M22)</f>
        <v>0.71</v>
      </c>
      <c r="N17" s="28" t="n">
        <f aca="false">1-SUM(N18:N22)</f>
        <v>0.71</v>
      </c>
      <c r="O17" s="28" t="n">
        <f aca="false">1-SUM(O18:O22)</f>
        <v>0.71</v>
      </c>
      <c r="P17" s="28" t="n">
        <f aca="false">1-SUM(P18:P22)</f>
        <v>0.71</v>
      </c>
      <c r="Q17" s="28" t="n">
        <f aca="false">1-SUM(Q18:Q22)</f>
        <v>0.71</v>
      </c>
      <c r="R17" s="28" t="n">
        <f aca="false">1-SUM(R18:R22)</f>
        <v>0.71</v>
      </c>
      <c r="S17" s="28" t="n">
        <f aca="false">1-SUM(S18:S22)</f>
        <v>0.71</v>
      </c>
      <c r="T17" s="28" t="n">
        <f aca="false">1-SUM(T18:T22)</f>
        <v>0.71</v>
      </c>
      <c r="U17" s="28" t="n">
        <f aca="false">1-SUM(U18:U22)</f>
        <v>0.71</v>
      </c>
      <c r="V17" s="28" t="n">
        <f aca="false">1-SUM(V18:V22)</f>
        <v>0.71</v>
      </c>
      <c r="W17" s="28" t="n">
        <f aca="false">1-SUM(W18:W22)</f>
        <v>0.71</v>
      </c>
      <c r="X17" s="28" t="n">
        <f aca="false">1-SUM(X18:X22)</f>
        <v>0.71</v>
      </c>
      <c r="Y17" s="28" t="n">
        <f aca="false">1-SUM(Y18:Y22)</f>
        <v>0.71</v>
      </c>
    </row>
    <row r="18" customFormat="false" ht="15" hidden="false" customHeight="false" outlineLevel="0" collapsed="false">
      <c r="A18" s="4" t="s">
        <v>161</v>
      </c>
      <c r="B18" s="28" t="n">
        <f aca="false">Plan_Supuestos!$G$31+(Plan_Supuestos!$H$31-Plan_Supuestos!$G$31)*B16</f>
        <v>0.08</v>
      </c>
      <c r="C18" s="28" t="n">
        <f aca="false">Plan_Supuestos!$G$31+(Plan_Supuestos!$H$31-Plan_Supuestos!$G$31)*C16</f>
        <v>0.0772727272727273</v>
      </c>
      <c r="D18" s="28" t="n">
        <f aca="false">Plan_Supuestos!$G$31+(Plan_Supuestos!$H$31-Plan_Supuestos!$G$31)*D16</f>
        <v>0.0745454545454546</v>
      </c>
      <c r="E18" s="28" t="n">
        <f aca="false">Plan_Supuestos!$G$31+(Plan_Supuestos!$H$31-Plan_Supuestos!$G$31)*E16</f>
        <v>0.0718181818181818</v>
      </c>
      <c r="F18" s="28" t="n">
        <f aca="false">Plan_Supuestos!$G$31+(Plan_Supuestos!$H$31-Plan_Supuestos!$G$31)*F16</f>
        <v>0.0690909090909091</v>
      </c>
      <c r="G18" s="28" t="n">
        <f aca="false">Plan_Supuestos!$G$31+(Plan_Supuestos!$H$31-Plan_Supuestos!$G$31)*G16</f>
        <v>0.0663636363636364</v>
      </c>
      <c r="H18" s="28" t="n">
        <f aca="false">Plan_Supuestos!$G$31+(Plan_Supuestos!$H$31-Plan_Supuestos!$G$31)*H16</f>
        <v>0.0636363636363636</v>
      </c>
      <c r="I18" s="28" t="n">
        <f aca="false">Plan_Supuestos!$G$31+(Plan_Supuestos!$H$31-Plan_Supuestos!$G$31)*I16</f>
        <v>0.0609090909090909</v>
      </c>
      <c r="J18" s="28" t="n">
        <f aca="false">Plan_Supuestos!$G$31+(Plan_Supuestos!$H$31-Plan_Supuestos!$G$31)*J16</f>
        <v>0.0581818181818182</v>
      </c>
      <c r="K18" s="28" t="n">
        <f aca="false">Plan_Supuestos!$G$31+(Plan_Supuestos!$H$31-Plan_Supuestos!$G$31)*K16</f>
        <v>0.0554545454545455</v>
      </c>
      <c r="L18" s="28" t="n">
        <f aca="false">Plan_Supuestos!$G$31+(Plan_Supuestos!$H$31-Plan_Supuestos!$G$31)*L16</f>
        <v>0.0527272727272727</v>
      </c>
      <c r="M18" s="28" t="n">
        <f aca="false">Plan_Supuestos!$G$31+(Plan_Supuestos!$H$31-Plan_Supuestos!$G$31)*M16</f>
        <v>0.05</v>
      </c>
      <c r="N18" s="28" t="n">
        <f aca="false">Plan_Supuestos!$G$31+(Plan_Supuestos!$H$31-Plan_Supuestos!$G$31)*N16</f>
        <v>0.05</v>
      </c>
      <c r="O18" s="28" t="n">
        <f aca="false">Plan_Supuestos!$G$31+(Plan_Supuestos!$H$31-Plan_Supuestos!$G$31)*O16</f>
        <v>0.05</v>
      </c>
      <c r="P18" s="28" t="n">
        <f aca="false">Plan_Supuestos!$G$31+(Plan_Supuestos!$H$31-Plan_Supuestos!$G$31)*P16</f>
        <v>0.05</v>
      </c>
      <c r="Q18" s="28" t="n">
        <f aca="false">Plan_Supuestos!$G$31+(Plan_Supuestos!$H$31-Plan_Supuestos!$G$31)*Q16</f>
        <v>0.05</v>
      </c>
      <c r="R18" s="28" t="n">
        <f aca="false">Plan_Supuestos!$G$31+(Plan_Supuestos!$H$31-Plan_Supuestos!$G$31)*R16</f>
        <v>0.05</v>
      </c>
      <c r="S18" s="28" t="n">
        <f aca="false">Plan_Supuestos!$G$31+(Plan_Supuestos!$H$31-Plan_Supuestos!$G$31)*S16</f>
        <v>0.05</v>
      </c>
      <c r="T18" s="28" t="n">
        <f aca="false">Plan_Supuestos!$G$31+(Plan_Supuestos!$H$31-Plan_Supuestos!$G$31)*T16</f>
        <v>0.05</v>
      </c>
      <c r="U18" s="28" t="n">
        <f aca="false">Plan_Supuestos!$G$31+(Plan_Supuestos!$H$31-Plan_Supuestos!$G$31)*U16</f>
        <v>0.05</v>
      </c>
      <c r="V18" s="28" t="n">
        <f aca="false">Plan_Supuestos!$G$31+(Plan_Supuestos!$H$31-Plan_Supuestos!$G$31)*V16</f>
        <v>0.05</v>
      </c>
      <c r="W18" s="28" t="n">
        <f aca="false">Plan_Supuestos!$G$31+(Plan_Supuestos!$H$31-Plan_Supuestos!$G$31)*W16</f>
        <v>0.05</v>
      </c>
      <c r="X18" s="28" t="n">
        <f aca="false">Plan_Supuestos!$G$31+(Plan_Supuestos!$H$31-Plan_Supuestos!$G$31)*X16</f>
        <v>0.05</v>
      </c>
      <c r="Y18" s="28" t="n">
        <f aca="false">Plan_Supuestos!$G$31+(Plan_Supuestos!$H$31-Plan_Supuestos!$G$31)*Y16</f>
        <v>0.05</v>
      </c>
    </row>
    <row r="19" customFormat="false" ht="15" hidden="false" customHeight="false" outlineLevel="0" collapsed="false">
      <c r="A19" s="4" t="s">
        <v>162</v>
      </c>
      <c r="B19" s="28" t="n">
        <f aca="false">Plan_Supuestos!$G$32+(Plan_Supuestos!$H$32-Plan_Supuestos!$G$32)*B16</f>
        <v>0.05</v>
      </c>
      <c r="C19" s="28" t="n">
        <f aca="false">Plan_Supuestos!$G$32+(Plan_Supuestos!$H$32-Plan_Supuestos!$G$32)*C16</f>
        <v>0.0545454545454546</v>
      </c>
      <c r="D19" s="28" t="n">
        <f aca="false">Plan_Supuestos!$G$32+(Plan_Supuestos!$H$32-Plan_Supuestos!$G$32)*D16</f>
        <v>0.0590909090909091</v>
      </c>
      <c r="E19" s="28" t="n">
        <f aca="false">Plan_Supuestos!$G$32+(Plan_Supuestos!$H$32-Plan_Supuestos!$G$32)*E16</f>
        <v>0.0636363636363636</v>
      </c>
      <c r="F19" s="28" t="n">
        <f aca="false">Plan_Supuestos!$G$32+(Plan_Supuestos!$H$32-Plan_Supuestos!$G$32)*F16</f>
        <v>0.0681818181818182</v>
      </c>
      <c r="G19" s="28" t="n">
        <f aca="false">Plan_Supuestos!$G$32+(Plan_Supuestos!$H$32-Plan_Supuestos!$G$32)*G16</f>
        <v>0.0727272727272727</v>
      </c>
      <c r="H19" s="28" t="n">
        <f aca="false">Plan_Supuestos!$G$32+(Plan_Supuestos!$H$32-Plan_Supuestos!$G$32)*H16</f>
        <v>0.0772727272727273</v>
      </c>
      <c r="I19" s="28" t="n">
        <f aca="false">Plan_Supuestos!$G$32+(Plan_Supuestos!$H$32-Plan_Supuestos!$G$32)*I16</f>
        <v>0.0818181818181818</v>
      </c>
      <c r="J19" s="28" t="n">
        <f aca="false">Plan_Supuestos!$G$32+(Plan_Supuestos!$H$32-Plan_Supuestos!$G$32)*J16</f>
        <v>0.0863636363636364</v>
      </c>
      <c r="K19" s="28" t="n">
        <f aca="false">Plan_Supuestos!$G$32+(Plan_Supuestos!$H$32-Plan_Supuestos!$G$32)*K16</f>
        <v>0.0909090909090909</v>
      </c>
      <c r="L19" s="28" t="n">
        <f aca="false">Plan_Supuestos!$G$32+(Plan_Supuestos!$H$32-Plan_Supuestos!$G$32)*L16</f>
        <v>0.0954545454545455</v>
      </c>
      <c r="M19" s="28" t="n">
        <f aca="false">Plan_Supuestos!$G$32+(Plan_Supuestos!$H$32-Plan_Supuestos!$G$32)*M16</f>
        <v>0.1</v>
      </c>
      <c r="N19" s="28" t="n">
        <f aca="false">Plan_Supuestos!$G$32+(Plan_Supuestos!$H$32-Plan_Supuestos!$G$32)*N16</f>
        <v>0.1</v>
      </c>
      <c r="O19" s="28" t="n">
        <f aca="false">Plan_Supuestos!$G$32+(Plan_Supuestos!$H$32-Plan_Supuestos!$G$32)*O16</f>
        <v>0.1</v>
      </c>
      <c r="P19" s="28" t="n">
        <f aca="false">Plan_Supuestos!$G$32+(Plan_Supuestos!$H$32-Plan_Supuestos!$G$32)*P16</f>
        <v>0.1</v>
      </c>
      <c r="Q19" s="28" t="n">
        <f aca="false">Plan_Supuestos!$G$32+(Plan_Supuestos!$H$32-Plan_Supuestos!$G$32)*Q16</f>
        <v>0.1</v>
      </c>
      <c r="R19" s="28" t="n">
        <f aca="false">Plan_Supuestos!$G$32+(Plan_Supuestos!$H$32-Plan_Supuestos!$G$32)*R16</f>
        <v>0.1</v>
      </c>
      <c r="S19" s="28" t="n">
        <f aca="false">Plan_Supuestos!$G$32+(Plan_Supuestos!$H$32-Plan_Supuestos!$G$32)*S16</f>
        <v>0.1</v>
      </c>
      <c r="T19" s="28" t="n">
        <f aca="false">Plan_Supuestos!$G$32+(Plan_Supuestos!$H$32-Plan_Supuestos!$G$32)*T16</f>
        <v>0.1</v>
      </c>
      <c r="U19" s="28" t="n">
        <f aca="false">Plan_Supuestos!$G$32+(Plan_Supuestos!$H$32-Plan_Supuestos!$G$32)*U16</f>
        <v>0.1</v>
      </c>
      <c r="V19" s="28" t="n">
        <f aca="false">Plan_Supuestos!$G$32+(Plan_Supuestos!$H$32-Plan_Supuestos!$G$32)*V16</f>
        <v>0.1</v>
      </c>
      <c r="W19" s="28" t="n">
        <f aca="false">Plan_Supuestos!$G$32+(Plan_Supuestos!$H$32-Plan_Supuestos!$G$32)*W16</f>
        <v>0.1</v>
      </c>
      <c r="X19" s="28" t="n">
        <f aca="false">Plan_Supuestos!$G$32+(Plan_Supuestos!$H$32-Plan_Supuestos!$G$32)*X16</f>
        <v>0.1</v>
      </c>
      <c r="Y19" s="28" t="n">
        <f aca="false">Plan_Supuestos!$G$32+(Plan_Supuestos!$H$32-Plan_Supuestos!$G$32)*Y16</f>
        <v>0.1</v>
      </c>
    </row>
    <row r="20" customFormat="false" ht="15" hidden="false" customHeight="false" outlineLevel="0" collapsed="false">
      <c r="A20" s="4" t="s">
        <v>163</v>
      </c>
      <c r="B20" s="28" t="n">
        <f aca="false">Plan_Supuestos!$G$33+(Plan_Supuestos!$H$33-Plan_Supuestos!$G$33)*B16</f>
        <v>0.04</v>
      </c>
      <c r="C20" s="28" t="n">
        <f aca="false">Plan_Supuestos!$G$33+(Plan_Supuestos!$H$33-Plan_Supuestos!$G$33)*C16</f>
        <v>0.0418181818181818</v>
      </c>
      <c r="D20" s="28" t="n">
        <f aca="false">Plan_Supuestos!$G$33+(Plan_Supuestos!$H$33-Plan_Supuestos!$G$33)*D16</f>
        <v>0.0436363636363636</v>
      </c>
      <c r="E20" s="28" t="n">
        <f aca="false">Plan_Supuestos!$G$33+(Plan_Supuestos!$H$33-Plan_Supuestos!$G$33)*E16</f>
        <v>0.0454545454545455</v>
      </c>
      <c r="F20" s="28" t="n">
        <f aca="false">Plan_Supuestos!$G$33+(Plan_Supuestos!$H$33-Plan_Supuestos!$G$33)*F16</f>
        <v>0.0472727272727273</v>
      </c>
      <c r="G20" s="28" t="n">
        <f aca="false">Plan_Supuestos!$G$33+(Plan_Supuestos!$H$33-Plan_Supuestos!$G$33)*G16</f>
        <v>0.0490909090909091</v>
      </c>
      <c r="H20" s="28" t="n">
        <f aca="false">Plan_Supuestos!$G$33+(Plan_Supuestos!$H$33-Plan_Supuestos!$G$33)*H16</f>
        <v>0.0509090909090909</v>
      </c>
      <c r="I20" s="28" t="n">
        <f aca="false">Plan_Supuestos!$G$33+(Plan_Supuestos!$H$33-Plan_Supuestos!$G$33)*I16</f>
        <v>0.0527272727272727</v>
      </c>
      <c r="J20" s="28" t="n">
        <f aca="false">Plan_Supuestos!$G$33+(Plan_Supuestos!$H$33-Plan_Supuestos!$G$33)*J16</f>
        <v>0.0545454545454545</v>
      </c>
      <c r="K20" s="28" t="n">
        <f aca="false">Plan_Supuestos!$G$33+(Plan_Supuestos!$H$33-Plan_Supuestos!$G$33)*K16</f>
        <v>0.0563636363636364</v>
      </c>
      <c r="L20" s="28" t="n">
        <f aca="false">Plan_Supuestos!$G$33+(Plan_Supuestos!$H$33-Plan_Supuestos!$G$33)*L16</f>
        <v>0.0581818181818182</v>
      </c>
      <c r="M20" s="28" t="n">
        <f aca="false">Plan_Supuestos!$G$33+(Plan_Supuestos!$H$33-Plan_Supuestos!$G$33)*M16</f>
        <v>0.06</v>
      </c>
      <c r="N20" s="28" t="n">
        <f aca="false">Plan_Supuestos!$G$33+(Plan_Supuestos!$H$33-Plan_Supuestos!$G$33)*N16</f>
        <v>0.06</v>
      </c>
      <c r="O20" s="28" t="n">
        <f aca="false">Plan_Supuestos!$G$33+(Plan_Supuestos!$H$33-Plan_Supuestos!$G$33)*O16</f>
        <v>0.06</v>
      </c>
      <c r="P20" s="28" t="n">
        <f aca="false">Plan_Supuestos!$G$33+(Plan_Supuestos!$H$33-Plan_Supuestos!$G$33)*P16</f>
        <v>0.06</v>
      </c>
      <c r="Q20" s="28" t="n">
        <f aca="false">Plan_Supuestos!$G$33+(Plan_Supuestos!$H$33-Plan_Supuestos!$G$33)*Q16</f>
        <v>0.06</v>
      </c>
      <c r="R20" s="28" t="n">
        <f aca="false">Plan_Supuestos!$G$33+(Plan_Supuestos!$H$33-Plan_Supuestos!$G$33)*R16</f>
        <v>0.06</v>
      </c>
      <c r="S20" s="28" t="n">
        <f aca="false">Plan_Supuestos!$G$33+(Plan_Supuestos!$H$33-Plan_Supuestos!$G$33)*S16</f>
        <v>0.06</v>
      </c>
      <c r="T20" s="28" t="n">
        <f aca="false">Plan_Supuestos!$G$33+(Plan_Supuestos!$H$33-Plan_Supuestos!$G$33)*T16</f>
        <v>0.06</v>
      </c>
      <c r="U20" s="28" t="n">
        <f aca="false">Plan_Supuestos!$G$33+(Plan_Supuestos!$H$33-Plan_Supuestos!$G$33)*U16</f>
        <v>0.06</v>
      </c>
      <c r="V20" s="28" t="n">
        <f aca="false">Plan_Supuestos!$G$33+(Plan_Supuestos!$H$33-Plan_Supuestos!$G$33)*V16</f>
        <v>0.06</v>
      </c>
      <c r="W20" s="28" t="n">
        <f aca="false">Plan_Supuestos!$G$33+(Plan_Supuestos!$H$33-Plan_Supuestos!$G$33)*W16</f>
        <v>0.06</v>
      </c>
      <c r="X20" s="28" t="n">
        <f aca="false">Plan_Supuestos!$G$33+(Plan_Supuestos!$H$33-Plan_Supuestos!$G$33)*X16</f>
        <v>0.06</v>
      </c>
      <c r="Y20" s="28" t="n">
        <f aca="false">Plan_Supuestos!$G$33+(Plan_Supuestos!$H$33-Plan_Supuestos!$G$33)*Y16</f>
        <v>0.06</v>
      </c>
    </row>
    <row r="21" customFormat="false" ht="15" hidden="false" customHeight="false" outlineLevel="0" collapsed="false">
      <c r="A21" s="4" t="s">
        <v>164</v>
      </c>
      <c r="B21" s="28" t="n">
        <f aca="false">Plan_Supuestos!$G$34+(Plan_Supuestos!$D$25-Plan_Supuestos!$G$34)*B16</f>
        <v>0.01</v>
      </c>
      <c r="C21" s="28" t="n">
        <f aca="false">Plan_Supuestos!$G$34+(Plan_Supuestos!$D$25-Plan_Supuestos!$G$34)*C16</f>
        <v>0.0163636363636364</v>
      </c>
      <c r="D21" s="28" t="n">
        <f aca="false">Plan_Supuestos!$G$34+(Plan_Supuestos!$D$25-Plan_Supuestos!$G$34)*D16</f>
        <v>0.0227272727272727</v>
      </c>
      <c r="E21" s="28" t="n">
        <f aca="false">Plan_Supuestos!$G$34+(Plan_Supuestos!$D$25-Plan_Supuestos!$G$34)*E16</f>
        <v>0.0290909090909091</v>
      </c>
      <c r="F21" s="28" t="n">
        <f aca="false">Plan_Supuestos!$G$34+(Plan_Supuestos!$D$25-Plan_Supuestos!$G$34)*F16</f>
        <v>0.0354545454545455</v>
      </c>
      <c r="G21" s="28" t="n">
        <f aca="false">Plan_Supuestos!$G$34+(Plan_Supuestos!$D$25-Plan_Supuestos!$G$34)*G16</f>
        <v>0.0418181818181818</v>
      </c>
      <c r="H21" s="28" t="n">
        <f aca="false">Plan_Supuestos!$G$34+(Plan_Supuestos!$D$25-Plan_Supuestos!$G$34)*H16</f>
        <v>0.0481818181818182</v>
      </c>
      <c r="I21" s="28" t="n">
        <f aca="false">Plan_Supuestos!$G$34+(Plan_Supuestos!$D$25-Plan_Supuestos!$G$34)*I16</f>
        <v>0.0545454545454546</v>
      </c>
      <c r="J21" s="28" t="n">
        <f aca="false">Plan_Supuestos!$G$34+(Plan_Supuestos!$D$25-Plan_Supuestos!$G$34)*J16</f>
        <v>0.0609090909090909</v>
      </c>
      <c r="K21" s="28" t="n">
        <f aca="false">Plan_Supuestos!$G$34+(Plan_Supuestos!$D$25-Plan_Supuestos!$G$34)*K16</f>
        <v>0.0672727272727273</v>
      </c>
      <c r="L21" s="28" t="n">
        <f aca="false">Plan_Supuestos!$G$34+(Plan_Supuestos!$D$25-Plan_Supuestos!$G$34)*L16</f>
        <v>0.0736363636363636</v>
      </c>
      <c r="M21" s="28" t="n">
        <f aca="false">Plan_Supuestos!$G$34+(Plan_Supuestos!$D$25-Plan_Supuestos!$G$34)*M16</f>
        <v>0.08</v>
      </c>
      <c r="N21" s="28" t="n">
        <f aca="false">Plan_Supuestos!$G$34+(Plan_Supuestos!$D$25-Plan_Supuestos!$G$34)*N16</f>
        <v>0.08</v>
      </c>
      <c r="O21" s="28" t="n">
        <f aca="false">Plan_Supuestos!$G$34+(Plan_Supuestos!$D$25-Plan_Supuestos!$G$34)*O16</f>
        <v>0.08</v>
      </c>
      <c r="P21" s="28" t="n">
        <f aca="false">Plan_Supuestos!$G$34+(Plan_Supuestos!$D$25-Plan_Supuestos!$G$34)*P16</f>
        <v>0.08</v>
      </c>
      <c r="Q21" s="28" t="n">
        <f aca="false">Plan_Supuestos!$G$34+(Plan_Supuestos!$D$25-Plan_Supuestos!$G$34)*Q16</f>
        <v>0.08</v>
      </c>
      <c r="R21" s="28" t="n">
        <f aca="false">Plan_Supuestos!$G$34+(Plan_Supuestos!$D$25-Plan_Supuestos!$G$34)*R16</f>
        <v>0.08</v>
      </c>
      <c r="S21" s="28" t="n">
        <f aca="false">Plan_Supuestos!$G$34+(Plan_Supuestos!$D$25-Plan_Supuestos!$G$34)*S16</f>
        <v>0.08</v>
      </c>
      <c r="T21" s="28" t="n">
        <f aca="false">Plan_Supuestos!$G$34+(Plan_Supuestos!$D$25-Plan_Supuestos!$G$34)*T16</f>
        <v>0.08</v>
      </c>
      <c r="U21" s="28" t="n">
        <f aca="false">Plan_Supuestos!$G$34+(Plan_Supuestos!$D$25-Plan_Supuestos!$G$34)*U16</f>
        <v>0.08</v>
      </c>
      <c r="V21" s="28" t="n">
        <f aca="false">Plan_Supuestos!$G$34+(Plan_Supuestos!$D$25-Plan_Supuestos!$G$34)*V16</f>
        <v>0.08</v>
      </c>
      <c r="W21" s="28" t="n">
        <f aca="false">Plan_Supuestos!$G$34+(Plan_Supuestos!$D$25-Plan_Supuestos!$G$34)*W16</f>
        <v>0.08</v>
      </c>
      <c r="X21" s="28" t="n">
        <f aca="false">Plan_Supuestos!$G$34+(Plan_Supuestos!$D$25-Plan_Supuestos!$G$34)*X16</f>
        <v>0.08</v>
      </c>
      <c r="Y21" s="28" t="n">
        <f aca="false">Plan_Supuestos!$G$34+(Plan_Supuestos!$D$25-Plan_Supuestos!$G$34)*Y16</f>
        <v>0.08</v>
      </c>
    </row>
    <row r="22" customFormat="false" ht="15" hidden="false" customHeight="false" outlineLevel="0" collapsed="false">
      <c r="A22" s="4" t="s">
        <v>165</v>
      </c>
      <c r="B22" s="28" t="n">
        <f aca="false">Plan_Supuestos!$G$35+(Plan_Supuestos!$H$35-Plan_Supuestos!$G$35)*B16</f>
        <v>0</v>
      </c>
      <c r="C22" s="28" t="n">
        <f aca="false">Plan_Supuestos!$G$35+(Plan_Supuestos!$H$35-Plan_Supuestos!$G$35)*C16</f>
        <v>0</v>
      </c>
      <c r="D22" s="28" t="n">
        <f aca="false">Plan_Supuestos!$G$35+(Plan_Supuestos!$H$35-Plan_Supuestos!$G$35)*D16</f>
        <v>0</v>
      </c>
      <c r="E22" s="28" t="n">
        <f aca="false">Plan_Supuestos!$G$35+(Plan_Supuestos!$H$35-Plan_Supuestos!$G$35)*E16</f>
        <v>0</v>
      </c>
      <c r="F22" s="28" t="n">
        <f aca="false">Plan_Supuestos!$G$35+(Plan_Supuestos!$H$35-Plan_Supuestos!$G$35)*F16</f>
        <v>0</v>
      </c>
      <c r="G22" s="28" t="n">
        <f aca="false">Plan_Supuestos!$G$35+(Plan_Supuestos!$H$35-Plan_Supuestos!$G$35)*G16</f>
        <v>0</v>
      </c>
      <c r="H22" s="28" t="n">
        <f aca="false">Plan_Supuestos!$G$35+(Plan_Supuestos!$H$35-Plan_Supuestos!$G$35)*H16</f>
        <v>0</v>
      </c>
      <c r="I22" s="28" t="n">
        <f aca="false">Plan_Supuestos!$G$35+(Plan_Supuestos!$H$35-Plan_Supuestos!$G$35)*I16</f>
        <v>0</v>
      </c>
      <c r="J22" s="28" t="n">
        <f aca="false">Plan_Supuestos!$G$35+(Plan_Supuestos!$H$35-Plan_Supuestos!$G$35)*J16</f>
        <v>0</v>
      </c>
      <c r="K22" s="28" t="n">
        <f aca="false">Plan_Supuestos!$G$35+(Plan_Supuestos!$H$35-Plan_Supuestos!$G$35)*K16</f>
        <v>0</v>
      </c>
      <c r="L22" s="28" t="n">
        <f aca="false">Plan_Supuestos!$G$35+(Plan_Supuestos!$H$35-Plan_Supuestos!$G$35)*L16</f>
        <v>0</v>
      </c>
      <c r="M22" s="28" t="n">
        <f aca="false">Plan_Supuestos!$G$35+(Plan_Supuestos!$H$35-Plan_Supuestos!$G$35)*M16</f>
        <v>0</v>
      </c>
      <c r="N22" s="28" t="n">
        <f aca="false">Plan_Supuestos!$G$35+(Plan_Supuestos!$H$35-Plan_Supuestos!$G$35)*N16</f>
        <v>0</v>
      </c>
      <c r="O22" s="28" t="n">
        <f aca="false">Plan_Supuestos!$G$35+(Plan_Supuestos!$H$35-Plan_Supuestos!$G$35)*O16</f>
        <v>0</v>
      </c>
      <c r="P22" s="28" t="n">
        <f aca="false">Plan_Supuestos!$G$35+(Plan_Supuestos!$H$35-Plan_Supuestos!$G$35)*P16</f>
        <v>0</v>
      </c>
      <c r="Q22" s="28" t="n">
        <f aca="false">Plan_Supuestos!$G$35+(Plan_Supuestos!$H$35-Plan_Supuestos!$G$35)*Q16</f>
        <v>0</v>
      </c>
      <c r="R22" s="28" t="n">
        <f aca="false">Plan_Supuestos!$G$35+(Plan_Supuestos!$H$35-Plan_Supuestos!$G$35)*R16</f>
        <v>0</v>
      </c>
      <c r="S22" s="28" t="n">
        <f aca="false">Plan_Supuestos!$G$35+(Plan_Supuestos!$H$35-Plan_Supuestos!$G$35)*S16</f>
        <v>0</v>
      </c>
      <c r="T22" s="28" t="n">
        <f aca="false">Plan_Supuestos!$G$35+(Plan_Supuestos!$H$35-Plan_Supuestos!$G$35)*T16</f>
        <v>0</v>
      </c>
      <c r="U22" s="28" t="n">
        <f aca="false">Plan_Supuestos!$G$35+(Plan_Supuestos!$H$35-Plan_Supuestos!$G$35)*U16</f>
        <v>0</v>
      </c>
      <c r="V22" s="28" t="n">
        <f aca="false">Plan_Supuestos!$G$35+(Plan_Supuestos!$H$35-Plan_Supuestos!$G$35)*V16</f>
        <v>0</v>
      </c>
      <c r="W22" s="28" t="n">
        <f aca="false">Plan_Supuestos!$G$35+(Plan_Supuestos!$H$35-Plan_Supuestos!$G$35)*W16</f>
        <v>0</v>
      </c>
      <c r="X22" s="28" t="n">
        <f aca="false">Plan_Supuestos!$G$35+(Plan_Supuestos!$H$35-Plan_Supuestos!$G$35)*X16</f>
        <v>0</v>
      </c>
      <c r="Y22" s="28" t="n">
        <f aca="false">Plan_Supuestos!$G$35+(Plan_Supuestos!$H$35-Plan_Supuestos!$G$35)*Y16</f>
        <v>0</v>
      </c>
    </row>
    <row r="23" customFormat="false" ht="15" hidden="false" customHeight="false" outlineLevel="0" collapsed="false">
      <c r="A23" s="4" t="s">
        <v>166</v>
      </c>
      <c r="B23" s="6" t="n">
        <f aca="false">SUMPRODUCT(B17:B22,Plan_Supuestos!$D$30:$D$35)+(Plan_Supuestos!$B$43+(Plan_Supuestos!$B$44-Plan_Supuestos!$B$43)*B16)*Plan_Supuestos!$B$45</f>
        <v>203.66340959428</v>
      </c>
      <c r="C23" s="6" t="n">
        <f aca="false">SUMPRODUCT(C17:C22,Plan_Supuestos!$D$30:$D$35)+(Plan_Supuestos!$B$43+(Plan_Supuestos!$B$44-Plan_Supuestos!$B$43)*C16)*Plan_Supuestos!$B$45</f>
        <v>208.041987742139</v>
      </c>
      <c r="D23" s="6" t="n">
        <f aca="false">SUMPRODUCT(D17:D22,Plan_Supuestos!$D$30:$D$35)+(Plan_Supuestos!$B$43+(Plan_Supuestos!$B$44-Plan_Supuestos!$B$43)*D16)*Plan_Supuestos!$B$45</f>
        <v>212.420565889998</v>
      </c>
      <c r="E23" s="6" t="n">
        <f aca="false">SUMPRODUCT(E17:E22,Plan_Supuestos!$D$30:$D$35)+(Plan_Supuestos!$B$43+(Plan_Supuestos!$B$44-Plan_Supuestos!$B$43)*E16)*Plan_Supuestos!$B$45</f>
        <v>216.799144037856</v>
      </c>
      <c r="F23" s="6" t="n">
        <f aca="false">SUMPRODUCT(F17:F22,Plan_Supuestos!$D$30:$D$35)+(Plan_Supuestos!$B$43+(Plan_Supuestos!$B$44-Plan_Supuestos!$B$43)*F16)*Plan_Supuestos!$B$45</f>
        <v>221.177722185715</v>
      </c>
      <c r="G23" s="6" t="n">
        <f aca="false">SUMPRODUCT(G17:G22,Plan_Supuestos!$D$30:$D$35)+(Plan_Supuestos!$B$43+(Plan_Supuestos!$B$44-Plan_Supuestos!$B$43)*G16)*Plan_Supuestos!$B$45</f>
        <v>225.556300333574</v>
      </c>
      <c r="H23" s="6" t="n">
        <f aca="false">SUMPRODUCT(H17:H22,Plan_Supuestos!$D$30:$D$35)+(Plan_Supuestos!$B$43+(Plan_Supuestos!$B$44-Plan_Supuestos!$B$43)*H16)*Plan_Supuestos!$B$45</f>
        <v>229.934878481432</v>
      </c>
      <c r="I23" s="6" t="n">
        <f aca="false">SUMPRODUCT(I17:I22,Plan_Supuestos!$D$30:$D$35)+(Plan_Supuestos!$B$43+(Plan_Supuestos!$B$44-Plan_Supuestos!$B$43)*I16)*Plan_Supuestos!$B$45</f>
        <v>234.313456629291</v>
      </c>
      <c r="J23" s="6" t="n">
        <f aca="false">SUMPRODUCT(J17:J22,Plan_Supuestos!$D$30:$D$35)+(Plan_Supuestos!$B$43+(Plan_Supuestos!$B$44-Plan_Supuestos!$B$43)*J16)*Plan_Supuestos!$B$45</f>
        <v>238.69203477715</v>
      </c>
      <c r="K23" s="6" t="n">
        <f aca="false">SUMPRODUCT(K17:K22,Plan_Supuestos!$D$30:$D$35)+(Plan_Supuestos!$B$43+(Plan_Supuestos!$B$44-Plan_Supuestos!$B$43)*K16)*Plan_Supuestos!$B$45</f>
        <v>243.070612925009</v>
      </c>
      <c r="L23" s="6" t="n">
        <f aca="false">SUMPRODUCT(L17:L22,Plan_Supuestos!$D$30:$D$35)+(Plan_Supuestos!$B$43+(Plan_Supuestos!$B$44-Plan_Supuestos!$B$43)*L16)*Plan_Supuestos!$B$45</f>
        <v>247.449191072867</v>
      </c>
      <c r="M23" s="6" t="n">
        <f aca="false">SUMPRODUCT(M17:M22,Plan_Supuestos!$D$30:$D$35)+(Plan_Supuestos!$B$43+(Plan_Supuestos!$B$44-Plan_Supuestos!$B$43)*M16)*Plan_Supuestos!$B$45</f>
        <v>251.827769220726</v>
      </c>
      <c r="N23" s="6" t="n">
        <f aca="false">SUMPRODUCT(N17:N22,Plan_Supuestos!$D$30:$D$35)+(Plan_Supuestos!$B$43+(Plan_Supuestos!$B$44-Plan_Supuestos!$B$43)*N16)*Plan_Supuestos!$B$45</f>
        <v>251.827769220726</v>
      </c>
      <c r="O23" s="6" t="n">
        <f aca="false">SUMPRODUCT(O17:O22,Plan_Supuestos!$D$30:$D$35)+(Plan_Supuestos!$B$43+(Plan_Supuestos!$B$44-Plan_Supuestos!$B$43)*O16)*Plan_Supuestos!$B$45</f>
        <v>251.827769220726</v>
      </c>
      <c r="P23" s="6" t="n">
        <f aca="false">SUMPRODUCT(P17:P22,Plan_Supuestos!$D$30:$D$35)+(Plan_Supuestos!$B$43+(Plan_Supuestos!$B$44-Plan_Supuestos!$B$43)*P16)*Plan_Supuestos!$B$45</f>
        <v>251.827769220726</v>
      </c>
      <c r="Q23" s="6" t="n">
        <f aca="false">SUMPRODUCT(Q17:Q22,Plan_Supuestos!$D$30:$D$35)+(Plan_Supuestos!$B$43+(Plan_Supuestos!$B$44-Plan_Supuestos!$B$43)*Q16)*Plan_Supuestos!$B$45</f>
        <v>251.827769220726</v>
      </c>
      <c r="R23" s="6" t="n">
        <f aca="false">SUMPRODUCT(R17:R22,Plan_Supuestos!$D$30:$D$35)+(Plan_Supuestos!$B$43+(Plan_Supuestos!$B$44-Plan_Supuestos!$B$43)*R16)*Plan_Supuestos!$B$45</f>
        <v>251.827769220726</v>
      </c>
      <c r="S23" s="6" t="n">
        <f aca="false">SUMPRODUCT(S17:S22,Plan_Supuestos!$D$30:$D$35)+(Plan_Supuestos!$B$43+(Plan_Supuestos!$B$44-Plan_Supuestos!$B$43)*S16)*Plan_Supuestos!$B$45</f>
        <v>251.827769220726</v>
      </c>
      <c r="T23" s="6" t="n">
        <f aca="false">SUMPRODUCT(T17:T22,Plan_Supuestos!$D$30:$D$35)+(Plan_Supuestos!$B$43+(Plan_Supuestos!$B$44-Plan_Supuestos!$B$43)*T16)*Plan_Supuestos!$B$45</f>
        <v>251.827769220726</v>
      </c>
      <c r="U23" s="6" t="n">
        <f aca="false">SUMPRODUCT(U17:U22,Plan_Supuestos!$D$30:$D$35)+(Plan_Supuestos!$B$43+(Plan_Supuestos!$B$44-Plan_Supuestos!$B$43)*U16)*Plan_Supuestos!$B$45</f>
        <v>251.827769220726</v>
      </c>
      <c r="V23" s="6" t="n">
        <f aca="false">SUMPRODUCT(V17:V22,Plan_Supuestos!$D$30:$D$35)+(Plan_Supuestos!$B$43+(Plan_Supuestos!$B$44-Plan_Supuestos!$B$43)*V16)*Plan_Supuestos!$B$45</f>
        <v>251.827769220726</v>
      </c>
      <c r="W23" s="6" t="n">
        <f aca="false">SUMPRODUCT(W17:W22,Plan_Supuestos!$D$30:$D$35)+(Plan_Supuestos!$B$43+(Plan_Supuestos!$B$44-Plan_Supuestos!$B$43)*W16)*Plan_Supuestos!$B$45</f>
        <v>251.827769220726</v>
      </c>
      <c r="X23" s="6" t="n">
        <f aca="false">SUMPRODUCT(X17:X22,Plan_Supuestos!$D$30:$D$35)+(Plan_Supuestos!$B$43+(Plan_Supuestos!$B$44-Plan_Supuestos!$B$43)*X16)*Plan_Supuestos!$B$45</f>
        <v>251.827769220726</v>
      </c>
      <c r="Y23" s="6" t="n">
        <f aca="false">SUMPRODUCT(Y17:Y22,Plan_Supuestos!$D$30:$D$35)+(Plan_Supuestos!$B$43+(Plan_Supuestos!$B$44-Plan_Supuestos!$B$43)*Y16)*Plan_Supuestos!$B$45</f>
        <v>251.827769220726</v>
      </c>
    </row>
    <row r="24" customFormat="false" ht="15" hidden="false" customHeight="false" outlineLevel="0" collapsed="false">
      <c r="A24" s="4" t="s">
        <v>167</v>
      </c>
      <c r="B24" s="6" t="n">
        <f aca="false">Plan_Supuestos!$D$26*MIN(1,B$4/6)*Plan_Supuestos!$B$8*SUMPRODUCT(B17:B22,Plan_Supuestos!$E$30:$E$35)</f>
        <v>3.14569397884274</v>
      </c>
      <c r="C24" s="6" t="n">
        <f aca="false">Plan_Supuestos!$D$26*MIN(1,C$4/6)*Plan_Supuestos!$B$8*SUMPRODUCT(C17:C22,Plan_Supuestos!$E$30:$E$35)</f>
        <v>6.4155881949753</v>
      </c>
      <c r="D24" s="6" t="n">
        <f aca="false">Plan_Supuestos!$D$26*MIN(1,D$4/6)*Plan_Supuestos!$B$8*SUMPRODUCT(D17:D22,Plan_Supuestos!$E$30:$E$35)</f>
        <v>9.80968264839767</v>
      </c>
      <c r="E24" s="6" t="n">
        <f aca="false">Plan_Supuestos!$D$26*MIN(1,E$4/6)*Plan_Supuestos!$B$8*SUMPRODUCT(E17:E22,Plan_Supuestos!$E$30:$E$35)</f>
        <v>13.3279773391099</v>
      </c>
      <c r="F24" s="6" t="n">
        <f aca="false">Plan_Supuestos!$D$26*MIN(1,F$4/6)*Plan_Supuestos!$B$8*SUMPRODUCT(F17:F22,Plan_Supuestos!$E$30:$E$35)</f>
        <v>16.9704722671119</v>
      </c>
      <c r="G24" s="6" t="n">
        <f aca="false">Plan_Supuestos!$D$26*MIN(1,G$4/6)*Plan_Supuestos!$B$8*SUMPRODUCT(G17:G22,Plan_Supuestos!$E$30:$E$35)</f>
        <v>20.7371674324037</v>
      </c>
      <c r="H24" s="6" t="n">
        <f aca="false">Plan_Supuestos!$D$26*MIN(1,H$4/6)*Plan_Supuestos!$B$8*SUMPRODUCT(H17:H22,Plan_Supuestos!$E$30:$E$35)</f>
        <v>21.1097681442732</v>
      </c>
      <c r="I24" s="6" t="n">
        <f aca="false">Plan_Supuestos!$D$26*MIN(1,I$4/6)*Plan_Supuestos!$B$8*SUMPRODUCT(I17:I22,Plan_Supuestos!$E$30:$E$35)</f>
        <v>21.4823688561426</v>
      </c>
      <c r="J24" s="6" t="n">
        <f aca="false">Plan_Supuestos!$D$26*MIN(1,J$4/6)*Plan_Supuestos!$B$8*SUMPRODUCT(J17:J22,Plan_Supuestos!$E$30:$E$35)</f>
        <v>21.8549695680121</v>
      </c>
      <c r="K24" s="6" t="n">
        <f aca="false">Plan_Supuestos!$D$26*MIN(1,K$4/6)*Plan_Supuestos!$B$8*SUMPRODUCT(K17:K22,Plan_Supuestos!$E$30:$E$35)</f>
        <v>22.2275702798815</v>
      </c>
      <c r="L24" s="6" t="n">
        <f aca="false">Plan_Supuestos!$D$26*MIN(1,L$4/6)*Plan_Supuestos!$B$8*SUMPRODUCT(L17:L22,Plan_Supuestos!$E$30:$E$35)</f>
        <v>22.600170991751</v>
      </c>
      <c r="M24" s="6" t="n">
        <f aca="false">Plan_Supuestos!$D$26*MIN(1,M$4/6)*Plan_Supuestos!$B$8*SUMPRODUCT(M17:M22,Plan_Supuestos!$E$30:$E$35)</f>
        <v>22.9727717036204</v>
      </c>
      <c r="N24" s="6" t="n">
        <f aca="false">Plan_Supuestos!$D$26*MIN(1,N$4/6)*Plan_Supuestos!$B$8*SUMPRODUCT(N17:N22,Plan_Supuestos!$E$30:$E$35)</f>
        <v>22.9727717036204</v>
      </c>
      <c r="O24" s="6" t="n">
        <f aca="false">Plan_Supuestos!$D$26*MIN(1,O$4/6)*Plan_Supuestos!$B$8*SUMPRODUCT(O17:O22,Plan_Supuestos!$E$30:$E$35)</f>
        <v>22.9727717036204</v>
      </c>
      <c r="P24" s="6" t="n">
        <f aca="false">Plan_Supuestos!$D$26*MIN(1,P$4/6)*Plan_Supuestos!$B$8*SUMPRODUCT(P17:P22,Plan_Supuestos!$E$30:$E$35)</f>
        <v>22.9727717036204</v>
      </c>
      <c r="Q24" s="6" t="n">
        <f aca="false">Plan_Supuestos!$D$26*MIN(1,Q$4/6)*Plan_Supuestos!$B$8*SUMPRODUCT(Q17:Q22,Plan_Supuestos!$E$30:$E$35)</f>
        <v>22.9727717036204</v>
      </c>
      <c r="R24" s="6" t="n">
        <f aca="false">Plan_Supuestos!$D$26*MIN(1,R$4/6)*Plan_Supuestos!$B$8*SUMPRODUCT(R17:R22,Plan_Supuestos!$E$30:$E$35)</f>
        <v>22.9727717036204</v>
      </c>
      <c r="S24" s="6" t="n">
        <f aca="false">Plan_Supuestos!$D$26*MIN(1,S$4/6)*Plan_Supuestos!$B$8*SUMPRODUCT(S17:S22,Plan_Supuestos!$E$30:$E$35)</f>
        <v>22.9727717036204</v>
      </c>
      <c r="T24" s="6" t="n">
        <f aca="false">Plan_Supuestos!$D$26*MIN(1,T$4/6)*Plan_Supuestos!$B$8*SUMPRODUCT(T17:T22,Plan_Supuestos!$E$30:$E$35)</f>
        <v>22.9727717036204</v>
      </c>
      <c r="U24" s="6" t="n">
        <f aca="false">Plan_Supuestos!$D$26*MIN(1,U$4/6)*Plan_Supuestos!$B$8*SUMPRODUCT(U17:U22,Plan_Supuestos!$E$30:$E$35)</f>
        <v>22.9727717036204</v>
      </c>
      <c r="V24" s="6" t="n">
        <f aca="false">Plan_Supuestos!$D$26*MIN(1,V$4/6)*Plan_Supuestos!$B$8*SUMPRODUCT(V17:V22,Plan_Supuestos!$E$30:$E$35)</f>
        <v>22.9727717036204</v>
      </c>
      <c r="W24" s="6" t="n">
        <f aca="false">Plan_Supuestos!$D$26*MIN(1,W$4/6)*Plan_Supuestos!$B$8*SUMPRODUCT(W17:W22,Plan_Supuestos!$E$30:$E$35)</f>
        <v>22.9727717036204</v>
      </c>
      <c r="X24" s="6" t="n">
        <f aca="false">Plan_Supuestos!$D$26*MIN(1,X$4/6)*Plan_Supuestos!$B$8*SUMPRODUCT(X17:X22,Plan_Supuestos!$E$30:$E$35)</f>
        <v>22.9727717036204</v>
      </c>
      <c r="Y24" s="6" t="n">
        <f aca="false">Plan_Supuestos!$D$26*MIN(1,Y$4/6)*Plan_Supuestos!$B$8*SUMPRODUCT(Y17:Y22,Plan_Supuestos!$E$30:$E$35)</f>
        <v>22.9727717036204</v>
      </c>
    </row>
    <row r="25" customFormat="false" ht="15" hidden="false" customHeight="false" outlineLevel="0" collapsed="false">
      <c r="A25" s="4" t="s">
        <v>168</v>
      </c>
      <c r="B25" s="5" t="n">
        <f aca="false">B12*(B23+B24)</f>
        <v>41865.7604234251</v>
      </c>
      <c r="C25" s="5" t="n">
        <f aca="false">C12*(C23+C24)</f>
        <v>49311.4526366042</v>
      </c>
      <c r="D25" s="5" t="n">
        <f aca="false">D12*(D23+D24)</f>
        <v>58055.8280133018</v>
      </c>
      <c r="E25" s="5" t="n">
        <f aca="false">E12*(E23+E24)</f>
        <v>68323.2917522638</v>
      </c>
      <c r="F25" s="5" t="n">
        <f aca="false">F12*(F23+F24)</f>
        <v>80376.9882073687</v>
      </c>
      <c r="G25" s="5" t="n">
        <f aca="false">G12*(G23+G24)</f>
        <v>94525.5338862351</v>
      </c>
      <c r="H25" s="5" t="n">
        <f aca="false">H12*(H23+H24)</f>
        <v>109595.005611236</v>
      </c>
      <c r="I25" s="5" t="n">
        <f aca="false">I12*(I23+I24)</f>
        <v>127060.957566964</v>
      </c>
      <c r="J25" s="5" t="n">
        <f aca="false">J12*(J23+J24)</f>
        <v>147306.7749246</v>
      </c>
      <c r="K25" s="5" t="n">
        <f aca="false">K12*(K23+K24)</f>
        <v>170778.012433062</v>
      </c>
      <c r="L25" s="5" t="n">
        <f aca="false">L12*(L23+L24)</f>
        <v>197992.691494667</v>
      </c>
      <c r="M25" s="5" t="n">
        <f aca="false">M12*(M23+M24)</f>
        <v>229553.353558017</v>
      </c>
      <c r="N25" s="5" t="n">
        <f aca="false">N12*(N23+N24)</f>
        <v>263238.513193728</v>
      </c>
      <c r="O25" s="5" t="n">
        <f aca="false">O12*(O23+O24)</f>
        <v>301967.751732032</v>
      </c>
      <c r="P25" s="5" t="n">
        <f aca="false">P12*(P23+P24)</f>
        <v>346515.382749967</v>
      </c>
      <c r="Q25" s="5" t="n">
        <f aca="false">Q12*(Q23+Q24)</f>
        <v>397778.285888864</v>
      </c>
      <c r="R25" s="5" t="n">
        <f aca="false">R12*(R23+R24)</f>
        <v>456796.057002557</v>
      </c>
      <c r="S25" s="5" t="n">
        <f aca="false">S12*(S23+S24)</f>
        <v>521276.131532414</v>
      </c>
      <c r="T25" s="5" t="n">
        <f aca="false">T12*(T23+T24)</f>
        <v>587030.95654506</v>
      </c>
      <c r="U25" s="5" t="n">
        <f aca="false">U12*(U23+U24)</f>
        <v>661080.228110885</v>
      </c>
      <c r="V25" s="5" t="n">
        <f aca="false">V12*(V23+V24)</f>
        <v>744470.224485672</v>
      </c>
      <c r="W25" s="5" t="n">
        <f aca="false">W12*(W23+W24)</f>
        <v>838379.203579484</v>
      </c>
      <c r="X25" s="5" t="n">
        <f aca="false">X12*(X23+X24)</f>
        <v>944134.051137054</v>
      </c>
      <c r="Y25" s="5" t="n">
        <f aca="false">Y12*(Y23+Y24)</f>
        <v>1063229.02895331</v>
      </c>
    </row>
    <row r="26" customFormat="false" ht="15" hidden="false" customHeight="false" outlineLevel="0" collapsed="false">
      <c r="A26" s="4" t="s">
        <v>169</v>
      </c>
      <c r="B26" s="5" t="n">
        <f aca="false">B14*Plan_Supuestos!$D$36</f>
        <v>1175.32953169811</v>
      </c>
      <c r="C26" s="5" t="n">
        <f aca="false">C14*Plan_Supuestos!$D$36</f>
        <v>1175.32953169811</v>
      </c>
      <c r="D26" s="5" t="n">
        <f aca="false">D14*Plan_Supuestos!$D$36</f>
        <v>1175.32953169811</v>
      </c>
      <c r="E26" s="5" t="n">
        <f aca="false">E14*Plan_Supuestos!$D$36</f>
        <v>1175.32953169811</v>
      </c>
      <c r="F26" s="5" t="n">
        <f aca="false">F14*Plan_Supuestos!$D$36</f>
        <v>1175.32953169811</v>
      </c>
      <c r="G26" s="5" t="n">
        <f aca="false">G14*Plan_Supuestos!$D$36</f>
        <v>1175.32953169811</v>
      </c>
      <c r="H26" s="5" t="n">
        <f aca="false">H14*Plan_Supuestos!$D$36</f>
        <v>1175.32953169811</v>
      </c>
      <c r="I26" s="5" t="n">
        <f aca="false">I14*Plan_Supuestos!$D$36</f>
        <v>1175.32953169811</v>
      </c>
      <c r="J26" s="5" t="n">
        <f aca="false">J14*Plan_Supuestos!$D$36</f>
        <v>1175.32953169811</v>
      </c>
      <c r="K26" s="5" t="n">
        <f aca="false">K14*Plan_Supuestos!$D$36</f>
        <v>1175.32953169811</v>
      </c>
      <c r="L26" s="5" t="n">
        <f aca="false">L14*Plan_Supuestos!$D$36</f>
        <v>1175.32953169811</v>
      </c>
      <c r="M26" s="5" t="n">
        <f aca="false">M14*Plan_Supuestos!$D$36</f>
        <v>1175.32953169811</v>
      </c>
      <c r="N26" s="5" t="n">
        <f aca="false">N14*Plan_Supuestos!$D$36</f>
        <v>3965.49795137133</v>
      </c>
      <c r="O26" s="5" t="n">
        <f aca="false">O14*Plan_Supuestos!$D$36</f>
        <v>4504.17029113865</v>
      </c>
      <c r="P26" s="5" t="n">
        <f aca="false">P14*Plan_Supuestos!$D$36</f>
        <v>5117.41985320771</v>
      </c>
      <c r="Q26" s="5" t="n">
        <f aca="false">Q14*Plan_Supuestos!$D$36</f>
        <v>5815.79882304269</v>
      </c>
      <c r="R26" s="5" t="n">
        <f aca="false">R14*Plan_Supuestos!$D$36</f>
        <v>6611.39086988292</v>
      </c>
      <c r="S26" s="5" t="n">
        <f aca="false">S14*Plan_Supuestos!$D$36</f>
        <v>7518.04019839631</v>
      </c>
      <c r="T26" s="5" t="n">
        <f aca="false">T14*Plan_Supuestos!$D$36</f>
        <v>8551.61610712454</v>
      </c>
      <c r="U26" s="5" t="n">
        <f aca="false">U14*Plan_Supuestos!$D$36</f>
        <v>9730.31879826343</v>
      </c>
      <c r="V26" s="5" t="n">
        <f aca="false">V14*Plan_Supuestos!$D$36</f>
        <v>11075.0331610497</v>
      </c>
      <c r="W26" s="5" t="n">
        <f aca="false">W14*Plan_Supuestos!$D$36</f>
        <v>12609.7384053242</v>
      </c>
      <c r="X26" s="5" t="n">
        <f aca="false">X14*Plan_Supuestos!$D$36</f>
        <v>14361.9827868354</v>
      </c>
      <c r="Y26" s="5" t="n">
        <f aca="false">Y14*Plan_Supuestos!$D$36</f>
        <v>16363.4342827678</v>
      </c>
    </row>
    <row r="27" customFormat="false" ht="15" hidden="false" customHeight="false" outlineLevel="0" collapsed="false">
      <c r="A27" s="4" t="s">
        <v>170</v>
      </c>
      <c r="B27" s="5" t="n">
        <f aca="false">-B7</f>
        <v>-9000</v>
      </c>
      <c r="C27" s="5" t="n">
        <f aca="false">-C7</f>
        <v>-10350</v>
      </c>
      <c r="D27" s="5" t="n">
        <f aca="false">-D7</f>
        <v>-11902.5</v>
      </c>
      <c r="E27" s="5" t="n">
        <f aca="false">-E7</f>
        <v>-13687.875</v>
      </c>
      <c r="F27" s="5" t="n">
        <f aca="false">-F7</f>
        <v>-15741.05625</v>
      </c>
      <c r="G27" s="5" t="n">
        <f aca="false">-G7</f>
        <v>-18102.2146875</v>
      </c>
      <c r="H27" s="5" t="n">
        <f aca="false">-H7</f>
        <v>-20817.546890625</v>
      </c>
      <c r="I27" s="5" t="n">
        <f aca="false">-I7</f>
        <v>-23940.1789242187</v>
      </c>
      <c r="J27" s="5" t="n">
        <f aca="false">-J7</f>
        <v>-27531.2057628515</v>
      </c>
      <c r="K27" s="5" t="n">
        <f aca="false">-K7</f>
        <v>-31660.8866272793</v>
      </c>
      <c r="L27" s="5" t="n">
        <f aca="false">-L7</f>
        <v>-36410.0196213712</v>
      </c>
      <c r="M27" s="5" t="n">
        <f aca="false">-M7</f>
        <v>-41871.5225645768</v>
      </c>
      <c r="N27" s="5" t="n">
        <f aca="false">-N7</f>
        <v>-48152.2509492634</v>
      </c>
      <c r="O27" s="5" t="n">
        <f aca="false">-O7</f>
        <v>-55375.0885916529</v>
      </c>
      <c r="P27" s="5" t="n">
        <f aca="false">-P7</f>
        <v>-63681.3518804008</v>
      </c>
      <c r="Q27" s="5" t="n">
        <f aca="false">-Q7</f>
        <v>-73233.5546624609</v>
      </c>
      <c r="R27" s="5" t="n">
        <f aca="false">-R7</f>
        <v>-84218.58786183</v>
      </c>
      <c r="S27" s="5" t="n">
        <f aca="false">-S7</f>
        <v>-96851.3760411045</v>
      </c>
      <c r="T27" s="5" t="n">
        <f aca="false">-T7</f>
        <v>-111379.08244727</v>
      </c>
      <c r="U27" s="5" t="n">
        <f aca="false">-U7</f>
        <v>-128085.944814361</v>
      </c>
      <c r="V27" s="5" t="n">
        <f aca="false">-V7</f>
        <v>-147298.836536515</v>
      </c>
      <c r="W27" s="5" t="n">
        <f aca="false">-W7</f>
        <v>-169393.662016992</v>
      </c>
      <c r="X27" s="5" t="n">
        <f aca="false">-X7</f>
        <v>-194802.711319541</v>
      </c>
      <c r="Y27" s="5" t="n">
        <f aca="false">-Y7</f>
        <v>-224023.118017472</v>
      </c>
    </row>
    <row r="28" customFormat="false" ht="15" hidden="false" customHeight="false" outlineLevel="0" collapsed="false">
      <c r="A28" s="4" t="s">
        <v>171</v>
      </c>
      <c r="B28" s="5" t="n">
        <f aca="false">B25+B26+B27</f>
        <v>34041.0899551232</v>
      </c>
      <c r="C28" s="5" t="n">
        <f aca="false">C25+C26+C27</f>
        <v>40136.7821683023</v>
      </c>
      <c r="D28" s="5" t="n">
        <f aca="false">D25+D26+D27</f>
        <v>47328.6575449999</v>
      </c>
      <c r="E28" s="5" t="n">
        <f aca="false">E25+E26+E27</f>
        <v>55810.7462839619</v>
      </c>
      <c r="F28" s="5" t="n">
        <f aca="false">F25+F26+F27</f>
        <v>65811.2614890668</v>
      </c>
      <c r="G28" s="5" t="n">
        <f aca="false">G25+G26+G27</f>
        <v>77598.6487304332</v>
      </c>
      <c r="H28" s="5" t="n">
        <f aca="false">H25+H26+H27</f>
        <v>89952.7882523094</v>
      </c>
      <c r="I28" s="5" t="n">
        <f aca="false">I25+I26+I27</f>
        <v>104296.108174443</v>
      </c>
      <c r="J28" s="5" t="n">
        <f aca="false">J25+J26+J27</f>
        <v>120950.898693447</v>
      </c>
      <c r="K28" s="5" t="n">
        <f aca="false">K25+K26+K27</f>
        <v>140292.455337481</v>
      </c>
      <c r="L28" s="5" t="n">
        <f aca="false">L25+L26+L27</f>
        <v>162758.001404994</v>
      </c>
      <c r="M28" s="5" t="n">
        <f aca="false">M25+M26+M27</f>
        <v>188857.160525138</v>
      </c>
      <c r="N28" s="5" t="n">
        <f aca="false">N25+N26+N27</f>
        <v>219051.760195836</v>
      </c>
      <c r="O28" s="5" t="n">
        <f aca="false">O25+O26+O27</f>
        <v>251096.833431517</v>
      </c>
      <c r="P28" s="5" t="n">
        <f aca="false">P25+P26+P27</f>
        <v>287951.450722774</v>
      </c>
      <c r="Q28" s="5" t="n">
        <f aca="false">Q25+Q26+Q27</f>
        <v>330360.530049445</v>
      </c>
      <c r="R28" s="5" t="n">
        <f aca="false">R25+R26+R27</f>
        <v>379188.86001061</v>
      </c>
      <c r="S28" s="5" t="n">
        <f aca="false">S25+S26+S27</f>
        <v>431942.795689706</v>
      </c>
      <c r="T28" s="5" t="n">
        <f aca="false">T25+T26+T27</f>
        <v>484203.490204915</v>
      </c>
      <c r="U28" s="5" t="n">
        <f aca="false">U25+U26+U27</f>
        <v>542724.602094788</v>
      </c>
      <c r="V28" s="5" t="n">
        <f aca="false">V25+V26+V27</f>
        <v>608246.421110207</v>
      </c>
      <c r="W28" s="5" t="n">
        <f aca="false">W25+W26+W27</f>
        <v>681595.279967816</v>
      </c>
      <c r="X28" s="5" t="n">
        <f aca="false">X25+X26+X27</f>
        <v>763693.322604348</v>
      </c>
      <c r="Y28" s="5" t="n">
        <f aca="false">Y25+Y26+Y27</f>
        <v>855569.345218607</v>
      </c>
    </row>
    <row r="29" customFormat="false" ht="15" hidden="false" customHeight="false" outlineLevel="0" collapsed="false">
      <c r="A29" s="4" t="s">
        <v>172</v>
      </c>
      <c r="B29" s="5" t="n">
        <f aca="false">-(Plan_Supuestos!$B$9+Plan_Supuestos!$B$10*B15)</f>
        <v>-16696.2939081537</v>
      </c>
      <c r="C29" s="5" t="n">
        <f aca="false">-(Plan_Supuestos!$B$9+Plan_Supuestos!$B$10*C15)</f>
        <v>-16916.2855922857</v>
      </c>
      <c r="D29" s="5" t="n">
        <f aca="false">-(Plan_Supuestos!$B$9+Plan_Supuestos!$B$10*D15)</f>
        <v>-17166.7343233474</v>
      </c>
      <c r="E29" s="5" t="n">
        <f aca="false">-(Plan_Supuestos!$B$9+Plan_Supuestos!$B$10*E15)</f>
        <v>-17451.9495727562</v>
      </c>
      <c r="F29" s="5" t="n">
        <f aca="false">-(Plan_Supuestos!$B$9+Plan_Supuestos!$B$10*F15)</f>
        <v>-17776.8662639343</v>
      </c>
      <c r="G29" s="5" t="n">
        <f aca="false">-(Plan_Supuestos!$B$9+Plan_Supuestos!$B$10*G15)</f>
        <v>-18147.1383161116</v>
      </c>
      <c r="H29" s="5" t="n">
        <f aca="false">-(Plan_Supuestos!$B$9+Plan_Supuestos!$B$10*H15)</f>
        <v>-18569.2466889632</v>
      </c>
      <c r="I29" s="5" t="n">
        <f aca="false">-(Plan_Supuestos!$B$9+Plan_Supuestos!$B$10*I15)</f>
        <v>-19050.6242741323</v>
      </c>
      <c r="J29" s="5" t="n">
        <f aca="false">-(Plan_Supuestos!$B$9+Plan_Supuestos!$B$10*J15)</f>
        <v>-19599.8003789859</v>
      </c>
      <c r="K29" s="5" t="n">
        <f aca="false">-(Plan_Supuestos!$B$9+Plan_Supuestos!$B$10*K15)</f>
        <v>-20226.5680193662</v>
      </c>
      <c r="L29" s="5" t="n">
        <f aca="false">-(Plan_Supuestos!$B$9+Plan_Supuestos!$B$10*L15)</f>
        <v>-20942.177795554</v>
      </c>
      <c r="M29" s="5" t="n">
        <f aca="false">-(Plan_Supuestos!$B$9+Plan_Supuestos!$B$10*M15)</f>
        <v>-21759.5627860082</v>
      </c>
      <c r="N29" s="5" t="n">
        <f aca="false">-(Plan_Supuestos!$B$9+Plan_Supuestos!$B$10*N15)</f>
        <v>-22922.5249941072</v>
      </c>
      <c r="O29" s="5" t="n">
        <f aca="false">-(Plan_Supuestos!$B$9+Plan_Supuestos!$B$10*O15)</f>
        <v>-24085.2101934865</v>
      </c>
      <c r="P29" s="5" t="n">
        <f aca="false">-(Plan_Supuestos!$B$9+Plan_Supuestos!$B$10*P15)</f>
        <v>-25422.1537030983</v>
      </c>
      <c r="Q29" s="5" t="n">
        <f aca="false">-(Plan_Supuestos!$B$9+Plan_Supuestos!$B$10*Q15)</f>
        <v>-26960.1550202002</v>
      </c>
      <c r="R29" s="5" t="n">
        <f aca="false">-(Plan_Supuestos!$B$9+Plan_Supuestos!$B$10*R15)</f>
        <v>-28730.2684722041</v>
      </c>
      <c r="S29" s="5" t="n">
        <f aca="false">-(Plan_Supuestos!$B$9+Plan_Supuestos!$B$10*S15)</f>
        <v>-30666.6574912553</v>
      </c>
      <c r="T29" s="5" t="n">
        <f aca="false">-(Plan_Supuestos!$B$9+Plan_Supuestos!$B$10*T15)</f>
        <v>-32648.4508885297</v>
      </c>
      <c r="U29" s="5" t="n">
        <f aca="false">-(Plan_Supuestos!$B$9+Plan_Supuestos!$B$10*U15)</f>
        <v>-34881.1954886302</v>
      </c>
      <c r="V29" s="5" t="n">
        <f aca="false">-(Plan_Supuestos!$B$9+Plan_Supuestos!$B$10*V15)</f>
        <v>-37396.7152586471</v>
      </c>
      <c r="W29" s="5" t="n">
        <f aca="false">-(Plan_Supuestos!$B$9+Plan_Supuestos!$B$10*W15)</f>
        <v>-40230.8785539173</v>
      </c>
      <c r="X29" s="5" t="n">
        <f aca="false">-(Plan_Supuestos!$B$9+Plan_Supuestos!$B$10*X15)</f>
        <v>-43424.1138004086</v>
      </c>
      <c r="Y29" s="5" t="n">
        <f aca="false">-(Plan_Supuestos!$B$9+Plan_Supuestos!$B$10*Y15)</f>
        <v>-47021.9912762229</v>
      </c>
    </row>
    <row r="30" customFormat="false" ht="15" hidden="false" customHeight="false" outlineLevel="0" collapsed="false">
      <c r="A30" s="4" t="s">
        <v>173</v>
      </c>
      <c r="B30" s="5" t="n">
        <f aca="false">B28+B29</f>
        <v>17344.7960469695</v>
      </c>
      <c r="C30" s="5" t="n">
        <f aca="false">C28+C29</f>
        <v>23220.4965760166</v>
      </c>
      <c r="D30" s="5" t="n">
        <f aca="false">D28+D29</f>
        <v>30161.9232216525</v>
      </c>
      <c r="E30" s="5" t="n">
        <f aca="false">E28+E29</f>
        <v>38358.7967112058</v>
      </c>
      <c r="F30" s="5" t="n">
        <f aca="false">F28+F29</f>
        <v>48034.3952251325</v>
      </c>
      <c r="G30" s="5" t="n">
        <f aca="false">G28+G29</f>
        <v>59451.5104143216</v>
      </c>
      <c r="H30" s="5" t="n">
        <f aca="false">H28+H29</f>
        <v>71383.5415633461</v>
      </c>
      <c r="I30" s="5" t="n">
        <f aca="false">I28+I29</f>
        <v>85245.4839003112</v>
      </c>
      <c r="J30" s="5" t="n">
        <f aca="false">J28+J29</f>
        <v>101351.098314461</v>
      </c>
      <c r="K30" s="5" t="n">
        <f aca="false">K28+K29</f>
        <v>120065.887318115</v>
      </c>
      <c r="L30" s="5" t="n">
        <f aca="false">L28+L29</f>
        <v>141815.82360944</v>
      </c>
      <c r="M30" s="5" t="n">
        <f aca="false">M28+M29</f>
        <v>167097.59773913</v>
      </c>
      <c r="N30" s="5" t="n">
        <f aca="false">N28+N29</f>
        <v>196129.235201729</v>
      </c>
      <c r="O30" s="5" t="n">
        <f aca="false">O28+O29</f>
        <v>227011.623238031</v>
      </c>
      <c r="P30" s="5" t="n">
        <f aca="false">P28+P29</f>
        <v>262529.297019676</v>
      </c>
      <c r="Q30" s="5" t="n">
        <f aca="false">Q28+Q29</f>
        <v>303400.375029245</v>
      </c>
      <c r="R30" s="5" t="n">
        <f aca="false">R28+R29</f>
        <v>350458.591538406</v>
      </c>
      <c r="S30" s="5" t="n">
        <f aca="false">S28+S29</f>
        <v>401276.138198451</v>
      </c>
      <c r="T30" s="5" t="n">
        <f aca="false">T28+T29</f>
        <v>451555.039316385</v>
      </c>
      <c r="U30" s="5" t="n">
        <f aca="false">U28+U29</f>
        <v>507843.406606157</v>
      </c>
      <c r="V30" s="5" t="n">
        <f aca="false">V28+V29</f>
        <v>570849.70585156</v>
      </c>
      <c r="W30" s="5" t="n">
        <f aca="false">W28+W29</f>
        <v>641364.401413899</v>
      </c>
      <c r="X30" s="5" t="n">
        <f aca="false">X28+X29</f>
        <v>720269.20880394</v>
      </c>
      <c r="Y30" s="5" t="n">
        <f aca="false">Y28+Y29</f>
        <v>808547.353942384</v>
      </c>
    </row>
    <row r="31" customFormat="false" ht="15" hidden="false" customHeight="false" outlineLevel="0" collapsed="false">
      <c r="A31" s="4" t="s">
        <v>174</v>
      </c>
      <c r="B31" s="5" t="n">
        <f aca="false">-MAX(0,B30)*Plan_Supuestos!$B$12</f>
        <v>-0</v>
      </c>
      <c r="C31" s="5" t="n">
        <f aca="false">-MAX(0,C30)*Plan_Supuestos!$B$12</f>
        <v>-0</v>
      </c>
      <c r="D31" s="5" t="n">
        <f aca="false">-MAX(0,D30)*Plan_Supuestos!$B$12</f>
        <v>-0</v>
      </c>
      <c r="E31" s="5" t="n">
        <f aca="false">-MAX(0,E30)*Plan_Supuestos!$B$12</f>
        <v>-0</v>
      </c>
      <c r="F31" s="5" t="n">
        <f aca="false">-MAX(0,F30)*Plan_Supuestos!$B$12</f>
        <v>-0</v>
      </c>
      <c r="G31" s="5" t="n">
        <f aca="false">-MAX(0,G30)*Plan_Supuestos!$B$12</f>
        <v>-0</v>
      </c>
      <c r="H31" s="5" t="n">
        <f aca="false">-MAX(0,H30)*Plan_Supuestos!$B$12</f>
        <v>-0</v>
      </c>
      <c r="I31" s="5" t="n">
        <f aca="false">-MAX(0,I30)*Plan_Supuestos!$B$12</f>
        <v>-0</v>
      </c>
      <c r="J31" s="5" t="n">
        <f aca="false">-MAX(0,J30)*Plan_Supuestos!$B$12</f>
        <v>-0</v>
      </c>
      <c r="K31" s="5" t="n">
        <f aca="false">-MAX(0,K30)*Plan_Supuestos!$B$12</f>
        <v>-0</v>
      </c>
      <c r="L31" s="5" t="n">
        <f aca="false">-MAX(0,L30)*Plan_Supuestos!$B$12</f>
        <v>-0</v>
      </c>
      <c r="M31" s="5" t="n">
        <f aca="false">-MAX(0,M30)*Plan_Supuestos!$B$12</f>
        <v>-0</v>
      </c>
      <c r="N31" s="5" t="n">
        <f aca="false">-MAX(0,N30)*Plan_Supuestos!$B$12</f>
        <v>-0</v>
      </c>
      <c r="O31" s="5" t="n">
        <f aca="false">-MAX(0,O30)*Plan_Supuestos!$B$12</f>
        <v>-0</v>
      </c>
      <c r="P31" s="5" t="n">
        <f aca="false">-MAX(0,P30)*Plan_Supuestos!$B$12</f>
        <v>-0</v>
      </c>
      <c r="Q31" s="5" t="n">
        <f aca="false">-MAX(0,Q30)*Plan_Supuestos!$B$12</f>
        <v>-0</v>
      </c>
      <c r="R31" s="5" t="n">
        <f aca="false">-MAX(0,R30)*Plan_Supuestos!$B$12</f>
        <v>-0</v>
      </c>
      <c r="S31" s="5" t="n">
        <f aca="false">-MAX(0,S30)*Plan_Supuestos!$B$12</f>
        <v>-0</v>
      </c>
      <c r="T31" s="5" t="n">
        <f aca="false">-MAX(0,T30)*Plan_Supuestos!$B$12</f>
        <v>-0</v>
      </c>
      <c r="U31" s="5" t="n">
        <f aca="false">-MAX(0,U30)*Plan_Supuestos!$B$12</f>
        <v>-0</v>
      </c>
      <c r="V31" s="5" t="n">
        <f aca="false">-MAX(0,V30)*Plan_Supuestos!$B$12</f>
        <v>-0</v>
      </c>
      <c r="W31" s="5" t="n">
        <f aca="false">-MAX(0,W30)*Plan_Supuestos!$B$12</f>
        <v>-0</v>
      </c>
      <c r="X31" s="5" t="n">
        <f aca="false">-MAX(0,X30)*Plan_Supuestos!$B$12</f>
        <v>-0</v>
      </c>
      <c r="Y31" s="5" t="n">
        <f aca="false">-MAX(0,Y30)*Plan_Supuestos!$B$12</f>
        <v>-0</v>
      </c>
    </row>
    <row r="32" customFormat="false" ht="15" hidden="false" customHeight="false" outlineLevel="0" collapsed="false">
      <c r="A32" s="8" t="s">
        <v>175</v>
      </c>
      <c r="B32" s="9" t="n">
        <f aca="false">B30+B31</f>
        <v>17344.7960469695</v>
      </c>
      <c r="C32" s="9" t="n">
        <f aca="false">C30+C31</f>
        <v>23220.4965760166</v>
      </c>
      <c r="D32" s="9" t="n">
        <f aca="false">D30+D31</f>
        <v>30161.9232216525</v>
      </c>
      <c r="E32" s="9" t="n">
        <f aca="false">E30+E31</f>
        <v>38358.7967112058</v>
      </c>
      <c r="F32" s="9" t="n">
        <f aca="false">F30+F31</f>
        <v>48034.3952251325</v>
      </c>
      <c r="G32" s="9" t="n">
        <f aca="false">G30+G31</f>
        <v>59451.5104143216</v>
      </c>
      <c r="H32" s="9" t="n">
        <f aca="false">H30+H31</f>
        <v>71383.5415633461</v>
      </c>
      <c r="I32" s="9" t="n">
        <f aca="false">I30+I31</f>
        <v>85245.4839003112</v>
      </c>
      <c r="J32" s="9" t="n">
        <f aca="false">J30+J31</f>
        <v>101351.098314461</v>
      </c>
      <c r="K32" s="9" t="n">
        <f aca="false">K30+K31</f>
        <v>120065.887318115</v>
      </c>
      <c r="L32" s="9" t="n">
        <f aca="false">L30+L31</f>
        <v>141815.82360944</v>
      </c>
      <c r="M32" s="9" t="n">
        <f aca="false">M30+M31</f>
        <v>167097.59773913</v>
      </c>
      <c r="N32" s="9" t="n">
        <f aca="false">N30+N31</f>
        <v>196129.235201729</v>
      </c>
      <c r="O32" s="9" t="n">
        <f aca="false">O30+O31</f>
        <v>227011.623238031</v>
      </c>
      <c r="P32" s="9" t="n">
        <f aca="false">P30+P31</f>
        <v>262529.297019676</v>
      </c>
      <c r="Q32" s="9" t="n">
        <f aca="false">Q30+Q31</f>
        <v>303400.375029245</v>
      </c>
      <c r="R32" s="9" t="n">
        <f aca="false">R30+R31</f>
        <v>350458.591538406</v>
      </c>
      <c r="S32" s="9" t="n">
        <f aca="false">S30+S31</f>
        <v>401276.138198451</v>
      </c>
      <c r="T32" s="9" t="n">
        <f aca="false">T30+T31</f>
        <v>451555.039316385</v>
      </c>
      <c r="U32" s="9" t="n">
        <f aca="false">U30+U31</f>
        <v>507843.406606157</v>
      </c>
      <c r="V32" s="9" t="n">
        <f aca="false">V30+V31</f>
        <v>570849.70585156</v>
      </c>
      <c r="W32" s="9" t="n">
        <f aca="false">W30+W31</f>
        <v>641364.401413899</v>
      </c>
      <c r="X32" s="9" t="n">
        <f aca="false">X30+X31</f>
        <v>720269.20880394</v>
      </c>
      <c r="Y32" s="9" t="n">
        <f aca="false">Y30+Y31</f>
        <v>808547.353942384</v>
      </c>
    </row>
    <row r="33" customFormat="false" ht="15" hidden="false" customHeight="false" outlineLevel="0" collapsed="false">
      <c r="A33" s="4" t="s">
        <v>176</v>
      </c>
      <c r="B33" s="5" t="n">
        <f aca="false">B32</f>
        <v>17344.7960469695</v>
      </c>
      <c r="C33" s="5" t="n">
        <f aca="false">B33+C32</f>
        <v>40565.2926229861</v>
      </c>
      <c r="D33" s="5" t="n">
        <f aca="false">C33+D32</f>
        <v>70727.2158446386</v>
      </c>
      <c r="E33" s="5" t="n">
        <f aca="false">D33+E32</f>
        <v>109086.012555844</v>
      </c>
      <c r="F33" s="5" t="n">
        <f aca="false">E33+F32</f>
        <v>157120.407780977</v>
      </c>
      <c r="G33" s="5" t="n">
        <f aca="false">F33+G32</f>
        <v>216571.918195298</v>
      </c>
      <c r="H33" s="5" t="n">
        <f aca="false">G33+H32</f>
        <v>287955.459758645</v>
      </c>
      <c r="I33" s="5" t="n">
        <f aca="false">H33+I32</f>
        <v>373200.943658956</v>
      </c>
      <c r="J33" s="5" t="n">
        <f aca="false">I33+J32</f>
        <v>474552.041973417</v>
      </c>
      <c r="K33" s="5" t="n">
        <f aca="false">J33+K32</f>
        <v>594617.929291531</v>
      </c>
      <c r="L33" s="5" t="n">
        <f aca="false">K33+L32</f>
        <v>736433.752900971</v>
      </c>
      <c r="M33" s="5" t="n">
        <f aca="false">L33+M32</f>
        <v>903531.350640101</v>
      </c>
      <c r="N33" s="5" t="n">
        <f aca="false">M33+N32</f>
        <v>1099660.58584183</v>
      </c>
      <c r="O33" s="5" t="n">
        <f aca="false">N33+O32</f>
        <v>1326672.20907986</v>
      </c>
      <c r="P33" s="5" t="n">
        <f aca="false">O33+P32</f>
        <v>1589201.50609954</v>
      </c>
      <c r="Q33" s="5" t="n">
        <f aca="false">P33+Q32</f>
        <v>1892601.88112878</v>
      </c>
      <c r="R33" s="5" t="n">
        <f aca="false">Q33+R32</f>
        <v>2243060.47266719</v>
      </c>
      <c r="S33" s="5" t="n">
        <f aca="false">R33+S32</f>
        <v>2644336.61086564</v>
      </c>
      <c r="T33" s="5" t="n">
        <f aca="false">S33+T32</f>
        <v>3095891.65018202</v>
      </c>
      <c r="U33" s="5" t="n">
        <f aca="false">T33+U32</f>
        <v>3603735.05678818</v>
      </c>
      <c r="V33" s="5" t="n">
        <f aca="false">U33+V32</f>
        <v>4174584.76263974</v>
      </c>
      <c r="W33" s="5" t="n">
        <f aca="false">V33+W32</f>
        <v>4815949.16405364</v>
      </c>
      <c r="X33" s="5" t="n">
        <f aca="false">W33+X32</f>
        <v>5536218.37285758</v>
      </c>
      <c r="Y33" s="5" t="n">
        <f aca="false">X33+Y32</f>
        <v>6344765.72679996</v>
      </c>
    </row>
    <row r="34" customFormat="false" ht="15" hidden="false" customHeight="false" outlineLevel="0" collapsed="false">
      <c r="A34" s="4" t="s">
        <v>177</v>
      </c>
      <c r="M34" s="5" t="n">
        <f aca="false">SUM(B32:M32)</f>
        <v>903531.350640101</v>
      </c>
      <c r="N34" s="5" t="n">
        <f aca="false">SUM(C32:N32)</f>
        <v>1082315.78979486</v>
      </c>
      <c r="O34" s="5" t="n">
        <f aca="false">SUM(D32:O32)</f>
        <v>1286106.91645687</v>
      </c>
      <c r="P34" s="5" t="n">
        <f aca="false">SUM(E32:P32)</f>
        <v>1518474.2902549</v>
      </c>
      <c r="Q34" s="5" t="n">
        <f aca="false">SUM(F32:Q32)</f>
        <v>1783515.86857294</v>
      </c>
      <c r="R34" s="5" t="n">
        <f aca="false">SUM(G32:R32)</f>
        <v>2085940.06488621</v>
      </c>
      <c r="S34" s="5" t="n">
        <f aca="false">SUM(H32:S32)</f>
        <v>2427764.69267034</v>
      </c>
      <c r="T34" s="5" t="n">
        <f aca="false">SUM(I32:T32)</f>
        <v>2807936.19042338</v>
      </c>
      <c r="U34" s="5" t="n">
        <f aca="false">SUM(J32:U32)</f>
        <v>3230534.11312922</v>
      </c>
      <c r="V34" s="5" t="n">
        <f aca="false">SUM(K32:V32)</f>
        <v>3700032.72066632</v>
      </c>
      <c r="W34" s="5" t="n">
        <f aca="false">SUM(L32:W32)</f>
        <v>4221331.23476211</v>
      </c>
      <c r="X34" s="5" t="n">
        <f aca="false">SUM(M32:X32)</f>
        <v>4799784.61995661</v>
      </c>
      <c r="Y34" s="5" t="n">
        <f aca="false">SUM(N32:Y32)</f>
        <v>5441234.37615986</v>
      </c>
    </row>
    <row r="35" customFormat="false" ht="15" hidden="false" customHeight="false" outlineLevel="0" collapsed="false">
      <c r="A35" s="4" t="s">
        <v>178</v>
      </c>
      <c r="B35" s="5" t="n">
        <f aca="false">B32*12</f>
        <v>208137.552563634</v>
      </c>
      <c r="C35" s="5" t="n">
        <f aca="false">C32*12</f>
        <v>278645.9589122</v>
      </c>
      <c r="D35" s="5" t="n">
        <f aca="false">D32*12</f>
        <v>361943.07865983</v>
      </c>
      <c r="E35" s="5" t="n">
        <f aca="false">E32*12</f>
        <v>460305.560534469</v>
      </c>
      <c r="F35" s="5" t="n">
        <f aca="false">F32*12</f>
        <v>576412.74270159</v>
      </c>
      <c r="G35" s="5" t="n">
        <f aca="false">G32*12</f>
        <v>713418.124971859</v>
      </c>
      <c r="H35" s="5" t="n">
        <f aca="false">H32*12</f>
        <v>856602.498760154</v>
      </c>
      <c r="I35" s="5" t="n">
        <f aca="false">I32*12</f>
        <v>1022945.80680373</v>
      </c>
      <c r="J35" s="5" t="n">
        <f aca="false">J32*12</f>
        <v>1216213.17977353</v>
      </c>
      <c r="K35" s="5" t="n">
        <f aca="false">K32*12</f>
        <v>1440790.64781738</v>
      </c>
      <c r="L35" s="5" t="n">
        <f aca="false">L32*12</f>
        <v>1701789.88331328</v>
      </c>
      <c r="M35" s="5" t="n">
        <f aca="false">M32*12</f>
        <v>2005171.17286956</v>
      </c>
      <c r="N35" s="5" t="n">
        <f aca="false">N32*12</f>
        <v>2353550.82242075</v>
      </c>
      <c r="O35" s="5" t="n">
        <f aca="false">O32*12</f>
        <v>2724139.47885637</v>
      </c>
      <c r="P35" s="5" t="n">
        <f aca="false">P32*12</f>
        <v>3150351.56423611</v>
      </c>
      <c r="Q35" s="5" t="n">
        <f aca="false">Q32*12</f>
        <v>3640804.50035094</v>
      </c>
      <c r="R35" s="5" t="n">
        <f aca="false">R32*12</f>
        <v>4205503.09846087</v>
      </c>
      <c r="S35" s="5" t="n">
        <f aca="false">S32*12</f>
        <v>4815313.65838141</v>
      </c>
      <c r="T35" s="5" t="n">
        <f aca="false">T32*12</f>
        <v>5418660.47179662</v>
      </c>
      <c r="U35" s="5" t="n">
        <f aca="false">U32*12</f>
        <v>6094120.87927389</v>
      </c>
      <c r="V35" s="5" t="n">
        <f aca="false">V32*12</f>
        <v>6850196.47021872</v>
      </c>
      <c r="W35" s="5" t="n">
        <f aca="false">W32*12</f>
        <v>7696372.81696679</v>
      </c>
      <c r="X35" s="5" t="n">
        <f aca="false">X32*12</f>
        <v>8643230.50564728</v>
      </c>
      <c r="Y35" s="5" t="n">
        <f aca="false">Y32*12</f>
        <v>9702568.24730861</v>
      </c>
    </row>
    <row r="36" customFormat="false" ht="15" hidden="false" customHeight="false" outlineLevel="0" collapsed="false">
      <c r="A36" s="8" t="s">
        <v>179</v>
      </c>
      <c r="B36" s="18" t="n">
        <f aca="false">B35/Plan_Supuestos!$B$13</f>
        <v>59467.8721610383</v>
      </c>
      <c r="C36" s="18" t="n">
        <f aca="false">C35/Plan_Supuestos!$B$13</f>
        <v>79613.1311177713</v>
      </c>
      <c r="D36" s="18" t="n">
        <f aca="false">D35/Plan_Supuestos!$B$13</f>
        <v>103412.308188523</v>
      </c>
      <c r="E36" s="18" t="n">
        <f aca="false">E35/Plan_Supuestos!$B$13</f>
        <v>131515.87443842</v>
      </c>
      <c r="F36" s="18" t="n">
        <f aca="false">F35/Plan_Supuestos!$B$13</f>
        <v>164689.355057597</v>
      </c>
      <c r="G36" s="18" t="n">
        <f aca="false">G35/Plan_Supuestos!$B$13</f>
        <v>203833.74999196</v>
      </c>
      <c r="H36" s="18" t="n">
        <f aca="false">H35/Plan_Supuestos!$B$13</f>
        <v>244743.57107433</v>
      </c>
      <c r="I36" s="18" t="n">
        <f aca="false">I35/Plan_Supuestos!$B$13</f>
        <v>292270.230515353</v>
      </c>
      <c r="J36" s="18" t="n">
        <f aca="false">J35/Plan_Supuestos!$B$13</f>
        <v>347489.479935294</v>
      </c>
      <c r="K36" s="18" t="n">
        <f aca="false">K35/Plan_Supuestos!$B$13</f>
        <v>411654.470804965</v>
      </c>
      <c r="L36" s="18" t="n">
        <f aca="false">L35/Plan_Supuestos!$B$13</f>
        <v>486225.68094665</v>
      </c>
      <c r="M36" s="18" t="n">
        <f aca="false">M35/Plan_Supuestos!$B$13</f>
        <v>572906.049391302</v>
      </c>
      <c r="N36" s="18" t="n">
        <f aca="false">N35/Plan_Supuestos!$B$13</f>
        <v>672443.092120213</v>
      </c>
      <c r="O36" s="18" t="n">
        <f aca="false">O35/Plan_Supuestos!$B$13</f>
        <v>778325.565387534</v>
      </c>
      <c r="P36" s="18" t="n">
        <f aca="false">P35/Plan_Supuestos!$B$13</f>
        <v>900100.446924602</v>
      </c>
      <c r="Q36" s="18" t="n">
        <f aca="false">Q35/Plan_Supuestos!$B$13</f>
        <v>1040229.85724313</v>
      </c>
      <c r="R36" s="18" t="n">
        <f aca="false">R35/Plan_Supuestos!$B$13</f>
        <v>1201572.31384596</v>
      </c>
      <c r="S36" s="18" t="n">
        <f aca="false">S35/Plan_Supuestos!$B$13</f>
        <v>1375803.90239469</v>
      </c>
      <c r="T36" s="18" t="n">
        <f aca="false">T35/Plan_Supuestos!$B$13</f>
        <v>1548188.7062276</v>
      </c>
      <c r="U36" s="18" t="n">
        <f aca="false">U35/Plan_Supuestos!$B$13</f>
        <v>1741177.39407825</v>
      </c>
      <c r="V36" s="18" t="n">
        <f aca="false">V35/Plan_Supuestos!$B$13</f>
        <v>1957198.99149106</v>
      </c>
      <c r="W36" s="18" t="n">
        <f aca="false">W35/Plan_Supuestos!$B$13</f>
        <v>2198963.66199051</v>
      </c>
      <c r="X36" s="18" t="n">
        <f aca="false">X35/Plan_Supuestos!$B$13</f>
        <v>2469494.43018494</v>
      </c>
      <c r="Y36" s="18" t="n">
        <f aca="false">Y35/Plan_Supuestos!$B$13</f>
        <v>2772162.35637389</v>
      </c>
    </row>
    <row r="37" customFormat="false" ht="15" hidden="false" customHeight="false" outlineLevel="0" collapsed="false">
      <c r="A37" s="4" t="s">
        <v>180</v>
      </c>
      <c r="B37" s="5" t="n">
        <f aca="false">IF(B36&gt;=Plan_Supuestos!$B$14,1,0)</f>
        <v>0</v>
      </c>
      <c r="C37" s="5" t="n">
        <f aca="false">IF(C36&gt;=Plan_Supuestos!$B$14,1,0)</f>
        <v>0</v>
      </c>
      <c r="D37" s="5" t="n">
        <f aca="false">IF(D36&gt;=Plan_Supuestos!$B$14,1,0)</f>
        <v>0</v>
      </c>
      <c r="E37" s="5" t="n">
        <f aca="false">IF(E36&gt;=Plan_Supuestos!$B$14,1,0)</f>
        <v>0</v>
      </c>
      <c r="F37" s="5" t="n">
        <f aca="false">IF(F36&gt;=Plan_Supuestos!$B$14,1,0)</f>
        <v>0</v>
      </c>
      <c r="G37" s="5" t="n">
        <f aca="false">IF(G36&gt;=Plan_Supuestos!$B$14,1,0)</f>
        <v>0</v>
      </c>
      <c r="H37" s="5" t="n">
        <f aca="false">IF(H36&gt;=Plan_Supuestos!$B$14,1,0)</f>
        <v>0</v>
      </c>
      <c r="I37" s="5" t="n">
        <f aca="false">IF(I36&gt;=Plan_Supuestos!$B$14,1,0)</f>
        <v>0</v>
      </c>
      <c r="J37" s="5" t="n">
        <f aca="false">IF(J36&gt;=Plan_Supuestos!$B$14,1,0)</f>
        <v>0</v>
      </c>
      <c r="K37" s="5" t="n">
        <f aca="false">IF(K36&gt;=Plan_Supuestos!$B$14,1,0)</f>
        <v>0</v>
      </c>
      <c r="L37" s="5" t="n">
        <f aca="false">IF(L36&gt;=Plan_Supuestos!$B$14,1,0)</f>
        <v>0</v>
      </c>
      <c r="M37" s="5" t="n">
        <f aca="false">IF(M36&gt;=Plan_Supuestos!$B$14,1,0)</f>
        <v>0</v>
      </c>
      <c r="N37" s="5" t="n">
        <f aca="false">IF(N36&gt;=Plan_Supuestos!$B$14,1,0)</f>
        <v>0</v>
      </c>
      <c r="O37" s="5" t="n">
        <f aca="false">IF(O36&gt;=Plan_Supuestos!$B$14,1,0)</f>
        <v>0</v>
      </c>
      <c r="P37" s="5" t="n">
        <f aca="false">IF(P36&gt;=Plan_Supuestos!$B$14,1,0)</f>
        <v>0</v>
      </c>
      <c r="Q37" s="5" t="n">
        <f aca="false">IF(Q36&gt;=Plan_Supuestos!$B$14,1,0)</f>
        <v>1</v>
      </c>
      <c r="R37" s="5" t="n">
        <f aca="false">IF(R36&gt;=Plan_Supuestos!$B$14,1,0)</f>
        <v>1</v>
      </c>
      <c r="S37" s="5" t="n">
        <f aca="false">IF(S36&gt;=Plan_Supuestos!$B$14,1,0)</f>
        <v>1</v>
      </c>
      <c r="T37" s="5" t="n">
        <f aca="false">IF(T36&gt;=Plan_Supuestos!$B$14,1,0)</f>
        <v>1</v>
      </c>
      <c r="U37" s="5" t="n">
        <f aca="false">IF(U36&gt;=Plan_Supuestos!$B$14,1,0)</f>
        <v>1</v>
      </c>
      <c r="V37" s="5" t="n">
        <f aca="false">IF(V36&gt;=Plan_Supuestos!$B$14,1,0)</f>
        <v>1</v>
      </c>
      <c r="W37" s="5" t="n">
        <f aca="false">IF(W36&gt;=Plan_Supuestos!$B$14,1,0)</f>
        <v>1</v>
      </c>
      <c r="X37" s="5" t="n">
        <f aca="false">IF(X36&gt;=Plan_Supuestos!$B$14,1,0)</f>
        <v>1</v>
      </c>
      <c r="Y37" s="5" t="n">
        <f aca="false">IF(Y36&gt;=Plan_Supuestos!$B$14,1,0)</f>
        <v>1</v>
      </c>
    </row>
    <row r="38" customFormat="false" ht="15" hidden="false" customHeight="false" outlineLevel="0" collapsed="false">
      <c r="A38" s="4" t="s">
        <v>181</v>
      </c>
      <c r="B38" s="5" t="n">
        <f aca="false">B12*(Plan_Supuestos!$B$8*Supuestos!$B$7+(1-Plan_Supuestos!$B$8)*Supuestos!$B$8)*SUMPRODUCT(B17:B22,Plan_Supuestos!$F$30:$F$35)+B14*Plan_Supuestos!$F$36</f>
        <v>5720.30082190756</v>
      </c>
      <c r="C38" s="5" t="n">
        <f aca="false">C12*(Plan_Supuestos!$B$8*Supuestos!$B$7+(1-Plan_Supuestos!$B$8)*Supuestos!$B$8)*SUMPRODUCT(C17:C22,Plan_Supuestos!$F$30:$F$35)+C14*Plan_Supuestos!$F$36</f>
        <v>7283.45209459998</v>
      </c>
      <c r="D38" s="5" t="n">
        <f aca="false">D12*(Plan_Supuestos!$B$8*Supuestos!$B$7+(1-Plan_Supuestos!$B$8)*Supuestos!$B$8)*SUMPRODUCT(D17:D22,Plan_Supuestos!$F$30:$F$35)+D14*Plan_Supuestos!$F$36</f>
        <v>9167.80232740826</v>
      </c>
      <c r="E38" s="5" t="n">
        <f aca="false">E12*(Plan_Supuestos!$B$8*Supuestos!$B$7+(1-Plan_Supuestos!$B$8)*Supuestos!$B$8)*SUMPRODUCT(E17:E22,Plan_Supuestos!$F$30:$F$35)+E14*Plan_Supuestos!$F$36</f>
        <v>11433.0240169485</v>
      </c>
      <c r="F38" s="5" t="n">
        <f aca="false">F12*(Plan_Supuestos!$B$8*Supuestos!$B$7+(1-Plan_Supuestos!$B$8)*Supuestos!$B$8)*SUMPRODUCT(F17:F22,Plan_Supuestos!$F$30:$F$35)+F14*Plan_Supuestos!$F$36</f>
        <v>14149.408753638</v>
      </c>
      <c r="G38" s="5" t="n">
        <f aca="false">G12*(Plan_Supuestos!$B$8*Supuestos!$B$7+(1-Plan_Supuestos!$B$8)*Supuestos!$B$8)*SUMPRODUCT(G17:G22,Plan_Supuestos!$F$30:$F$35)+G14*Plan_Supuestos!$F$36</f>
        <v>17399.7289342764</v>
      </c>
      <c r="H38" s="5" t="n">
        <f aca="false">H12*(Plan_Supuestos!$B$8*Supuestos!$B$7+(1-Plan_Supuestos!$B$8)*Supuestos!$B$8)*SUMPRODUCT(H17:H22,Plan_Supuestos!$F$30:$F$35)+H14*Plan_Supuestos!$F$36</f>
        <v>21281.4267918088</v>
      </c>
      <c r="I38" s="5" t="n">
        <f aca="false">I12*(Plan_Supuestos!$B$8*Supuestos!$B$7+(1-Plan_Supuestos!$B$8)*Supuestos!$B$8)*SUMPRODUCT(I17:I22,Plan_Supuestos!$F$30:$F$35)+I14*Plan_Supuestos!$F$36</f>
        <v>25909.1892502731</v>
      </c>
      <c r="J38" s="5" t="n">
        <f aca="false">J12*(Plan_Supuestos!$B$8*Supuestos!$B$7+(1-Plan_Supuestos!$B$8)*Supuestos!$B$8)*SUMPRODUCT(J17:J22,Plan_Supuestos!$F$30:$F$35)+J14*Plan_Supuestos!$F$36</f>
        <v>31417.9778759322</v>
      </c>
      <c r="K38" s="5" t="n">
        <f aca="false">K12*(Plan_Supuestos!$B$8*Supuestos!$B$7+(1-Plan_Supuestos!$B$8)*Supuestos!$B$8)*SUMPRODUCT(K17:K22,Plan_Supuestos!$F$30:$F$35)+K14*Plan_Supuestos!$F$36</f>
        <v>37966.596019926</v>
      </c>
      <c r="L38" s="5" t="n">
        <f aca="false">L12*(Plan_Supuestos!$B$8*Supuestos!$B$7+(1-Plan_Supuestos!$B$8)*Supuestos!$B$8)*SUMPRODUCT(L17:L22,Plan_Supuestos!$F$30:$F$35)+L14*Plan_Supuestos!$F$36</f>
        <v>45741.8905490716</v>
      </c>
      <c r="M38" s="5" t="n">
        <f aca="false">M12*(Plan_Supuestos!$B$8*Supuestos!$B$7+(1-Plan_Supuestos!$B$8)*Supuestos!$B$8)*SUMPRODUCT(M17:M22,Plan_Supuestos!$F$30:$F$35)+M14*Plan_Supuestos!$F$36</f>
        <v>54963.7038444313</v>
      </c>
      <c r="N38" s="5" t="n">
        <f aca="false">N12*(Plan_Supuestos!$B$8*Supuestos!$B$7+(1-Plan_Supuestos!$B$8)*Supuestos!$B$8)*SUMPRODUCT(N17:N22,Plan_Supuestos!$F$30:$F$35)+N14*Plan_Supuestos!$F$36</f>
        <v>62975.3914791707</v>
      </c>
      <c r="O38" s="5" t="n">
        <f aca="false">O12*(Plan_Supuestos!$B$8*Supuestos!$B$7+(1-Plan_Supuestos!$B$8)*Supuestos!$B$8)*SUMPRODUCT(O17:O22,Plan_Supuestos!$F$30:$F$35)+O14*Plan_Supuestos!$F$36</f>
        <v>72241.6310309996</v>
      </c>
      <c r="P38" s="5" t="n">
        <f aca="false">P12*(Plan_Supuestos!$B$8*Supuestos!$B$7+(1-Plan_Supuestos!$B$8)*Supuestos!$B$8)*SUMPRODUCT(P17:P22,Plan_Supuestos!$F$30:$F$35)+P14*Plan_Supuestos!$F$36</f>
        <v>82900.0919309394</v>
      </c>
      <c r="Q38" s="5" t="n">
        <f aca="false">Q12*(Plan_Supuestos!$B$8*Supuestos!$B$7+(1-Plan_Supuestos!$B$8)*Supuestos!$B$8)*SUMPRODUCT(Q17:Q22,Plan_Supuestos!$F$30:$F$35)+Q14*Plan_Supuestos!$F$36</f>
        <v>95165.3983787156</v>
      </c>
      <c r="R38" s="5" t="n">
        <f aca="false">R12*(Plan_Supuestos!$B$8*Supuestos!$B$7+(1-Plan_Supuestos!$B$8)*Supuestos!$B$8)*SUMPRODUCT(R17:R22,Plan_Supuestos!$F$30:$F$35)+R14*Plan_Supuestos!$F$36</f>
        <v>109286.329741778</v>
      </c>
      <c r="S38" s="5" t="n">
        <f aca="false">S12*(Plan_Supuestos!$B$8*Supuestos!$B$7+(1-Plan_Supuestos!$B$8)*Supuestos!$B$8)*SUMPRODUCT(S17:S22,Plan_Supuestos!$F$30:$F$35)+S14*Plan_Supuestos!$F$36</f>
        <v>124713.434028777</v>
      </c>
      <c r="T38" s="5" t="n">
        <f aca="false">T12*(Plan_Supuestos!$B$8*Supuestos!$B$7+(1-Plan_Supuestos!$B$8)*Supuestos!$B$8)*SUMPRODUCT(T17:T22,Plan_Supuestos!$F$30:$F$35)+T14*Plan_Supuestos!$F$36</f>
        <v>140443.286724369</v>
      </c>
      <c r="U38" s="5" t="n">
        <f aca="false">U12*(Plan_Supuestos!$B$8*Supuestos!$B$7+(1-Plan_Supuestos!$B$8)*Supuestos!$B$8)*SUMPRODUCT(U17:U22,Plan_Supuestos!$F$30:$F$35)+U14*Plan_Supuestos!$F$36</f>
        <v>158157.031666804</v>
      </c>
      <c r="V38" s="5" t="n">
        <f aca="false">V12*(Plan_Supuestos!$B$8*Supuestos!$B$7+(1-Plan_Supuestos!$B$8)*Supuestos!$B$8)*SUMPRODUCT(V17:V22,Plan_Supuestos!$F$30:$F$35)+V14*Plan_Supuestos!$F$36</f>
        <v>178104.868038246</v>
      </c>
      <c r="W38" s="5" t="n">
        <f aca="false">W12*(Plan_Supuestos!$B$8*Supuestos!$B$7+(1-Plan_Supuestos!$B$8)*Supuestos!$B$8)*SUMPRODUCT(W17:W22,Plan_Supuestos!$F$30:$F$35)+W14*Plan_Supuestos!$F$36</f>
        <v>200568.546199214</v>
      </c>
      <c r="X38" s="5" t="n">
        <f aca="false">X12*(Plan_Supuestos!$B$8*Supuestos!$B$7+(1-Plan_Supuestos!$B$8)*Supuestos!$B$8)*SUMPRODUCT(X17:X22,Plan_Supuestos!$F$30:$F$35)+X14*Plan_Supuestos!$F$36</f>
        <v>225865.34588315</v>
      </c>
      <c r="Y38" s="5" t="n">
        <f aca="false">Y12*(Plan_Supuestos!$B$8*Supuestos!$B$7+(1-Plan_Supuestos!$B$8)*Supuestos!$B$8)*SUMPRODUCT(Y17:Y22,Plan_Supuestos!$F$30:$F$35)+Y14*Plan_Supuestos!$F$36</f>
        <v>254352.555878229</v>
      </c>
    </row>
    <row r="39" customFormat="false" ht="15" hidden="false" customHeight="false" outlineLevel="0" collapsed="false">
      <c r="A39" s="4" t="s">
        <v>182</v>
      </c>
      <c r="B39" s="5" t="n">
        <f aca="false">B38*Plan_Supuestos!$B$11</f>
        <v>28601.5041095378</v>
      </c>
      <c r="C39" s="5" t="n">
        <f aca="false">C38*Plan_Supuestos!$B$11</f>
        <v>36417.2604729999</v>
      </c>
      <c r="D39" s="5" t="n">
        <f aca="false">D38*Plan_Supuestos!$B$11</f>
        <v>45839.0116370413</v>
      </c>
      <c r="E39" s="5" t="n">
        <f aca="false">E38*Plan_Supuestos!$B$11</f>
        <v>57165.1200847425</v>
      </c>
      <c r="F39" s="5" t="n">
        <f aca="false">F38*Plan_Supuestos!$B$11</f>
        <v>70747.0437681899</v>
      </c>
      <c r="G39" s="5" t="n">
        <f aca="false">G38*Plan_Supuestos!$B$11</f>
        <v>86998.644671382</v>
      </c>
      <c r="H39" s="5" t="n">
        <f aca="false">H38*Plan_Supuestos!$B$11</f>
        <v>106407.133959044</v>
      </c>
      <c r="I39" s="5" t="n">
        <f aca="false">I38*Plan_Supuestos!$B$11</f>
        <v>129545.946251365</v>
      </c>
      <c r="J39" s="5" t="n">
        <f aca="false">J38*Plan_Supuestos!$B$11</f>
        <v>157089.889379661</v>
      </c>
      <c r="K39" s="5" t="n">
        <f aca="false">K38*Plan_Supuestos!$B$11</f>
        <v>189832.98009963</v>
      </c>
      <c r="L39" s="5" t="n">
        <f aca="false">L38*Plan_Supuestos!$B$11</f>
        <v>228709.452745358</v>
      </c>
      <c r="M39" s="5" t="n">
        <f aca="false">M38*Plan_Supuestos!$B$11</f>
        <v>274818.519222157</v>
      </c>
      <c r="N39" s="5" t="n">
        <f aca="false">N38*Plan_Supuestos!$B$11</f>
        <v>314876.957395854</v>
      </c>
      <c r="O39" s="5" t="n">
        <f aca="false">O38*Plan_Supuestos!$B$11</f>
        <v>361208.155154998</v>
      </c>
      <c r="P39" s="5" t="n">
        <f aca="false">P38*Plan_Supuestos!$B$11</f>
        <v>414500.459654697</v>
      </c>
      <c r="Q39" s="5" t="n">
        <f aca="false">Q38*Plan_Supuestos!$B$11</f>
        <v>475826.991893578</v>
      </c>
      <c r="R39" s="5" t="n">
        <f aca="false">R38*Plan_Supuestos!$B$11</f>
        <v>546431.648708889</v>
      </c>
      <c r="S39" s="5" t="n">
        <f aca="false">S38*Plan_Supuestos!$B$11</f>
        <v>623567.170143883</v>
      </c>
      <c r="T39" s="5" t="n">
        <f aca="false">T38*Plan_Supuestos!$B$11</f>
        <v>702216.433621847</v>
      </c>
      <c r="U39" s="5" t="n">
        <f aca="false">U38*Plan_Supuestos!$B$11</f>
        <v>790785.15833402</v>
      </c>
      <c r="V39" s="5" t="n">
        <f aca="false">V38*Plan_Supuestos!$B$11</f>
        <v>890524.34019123</v>
      </c>
      <c r="W39" s="5" t="n">
        <f aca="false">W38*Plan_Supuestos!$B$11</f>
        <v>1002842.73099607</v>
      </c>
      <c r="X39" s="5" t="n">
        <f aca="false">X38*Plan_Supuestos!$B$11</f>
        <v>1129326.72941575</v>
      </c>
      <c r="Y39" s="5" t="n">
        <f aca="false">Y38*Plan_Supuestos!$B$11</f>
        <v>1271762.77939115</v>
      </c>
    </row>
    <row r="40" customFormat="false" ht="15" hidden="false" customHeight="false" outlineLevel="0" collapsed="false">
      <c r="A40" s="4" t="s">
        <v>183</v>
      </c>
      <c r="B40" s="5" t="n">
        <f aca="false">0</f>
        <v>0</v>
      </c>
      <c r="C40" s="5" t="n">
        <f aca="false">C39-B39</f>
        <v>7815.75636346213</v>
      </c>
      <c r="D40" s="5" t="n">
        <f aca="false">D39-C39</f>
        <v>9421.75116404141</v>
      </c>
      <c r="E40" s="5" t="n">
        <f aca="false">E39-D39</f>
        <v>11326.1084477012</v>
      </c>
      <c r="F40" s="5" t="n">
        <f aca="false">F39-E39</f>
        <v>13581.9236834474</v>
      </c>
      <c r="G40" s="5" t="n">
        <f aca="false">G39-F39</f>
        <v>16251.6009031921</v>
      </c>
      <c r="H40" s="5" t="n">
        <f aca="false">H39-G39</f>
        <v>19408.489287662</v>
      </c>
      <c r="I40" s="5" t="n">
        <f aca="false">I39-H39</f>
        <v>23138.8122923214</v>
      </c>
      <c r="J40" s="5" t="n">
        <f aca="false">J39-I39</f>
        <v>27543.9431282953</v>
      </c>
      <c r="K40" s="5" t="n">
        <f aca="false">K39-J39</f>
        <v>32743.0907199693</v>
      </c>
      <c r="L40" s="5" t="n">
        <f aca="false">L39-K39</f>
        <v>38876.4726457278</v>
      </c>
      <c r="M40" s="5" t="n">
        <f aca="false">M39-L39</f>
        <v>46109.0664767987</v>
      </c>
      <c r="N40" s="5" t="n">
        <f aca="false">N39-M39</f>
        <v>40058.438173697</v>
      </c>
      <c r="O40" s="5" t="n">
        <f aca="false">O39-N39</f>
        <v>46331.1977591442</v>
      </c>
      <c r="P40" s="5" t="n">
        <f aca="false">P39-O39</f>
        <v>53292.3044996991</v>
      </c>
      <c r="Q40" s="5" t="n">
        <f aca="false">Q39-P39</f>
        <v>61326.532238881</v>
      </c>
      <c r="R40" s="5" t="n">
        <f aca="false">R39-Q39</f>
        <v>70604.6568153115</v>
      </c>
      <c r="S40" s="5" t="n">
        <f aca="false">S39-R39</f>
        <v>77135.5214349938</v>
      </c>
      <c r="T40" s="5" t="n">
        <f aca="false">T39-S39</f>
        <v>78649.2634779641</v>
      </c>
      <c r="U40" s="5" t="n">
        <f aca="false">U39-T39</f>
        <v>88568.7247121725</v>
      </c>
      <c r="V40" s="5" t="n">
        <f aca="false">V39-U39</f>
        <v>99739.18185721</v>
      </c>
      <c r="W40" s="5" t="n">
        <f aca="false">W39-V39</f>
        <v>112318.390804841</v>
      </c>
      <c r="X40" s="5" t="n">
        <f aca="false">X39-W39</f>
        <v>126483.998419678</v>
      </c>
      <c r="Y40" s="5" t="n">
        <f aca="false">Y39-X39</f>
        <v>142436.049975397</v>
      </c>
    </row>
    <row r="41" customFormat="false" ht="15" hidden="false" customHeight="false" outlineLevel="0" collapsed="false">
      <c r="A41" s="4" t="s">
        <v>184</v>
      </c>
      <c r="B41" s="5" t="n">
        <f aca="false">B32-B40</f>
        <v>17344.7960469695</v>
      </c>
      <c r="C41" s="5" t="n">
        <f aca="false">C32-C40</f>
        <v>15404.7402125545</v>
      </c>
      <c r="D41" s="5" t="n">
        <f aca="false">D32-D40</f>
        <v>20740.1720576111</v>
      </c>
      <c r="E41" s="5" t="n">
        <f aca="false">E32-E40</f>
        <v>27032.6882635045</v>
      </c>
      <c r="F41" s="5" t="n">
        <f aca="false">F32-F40</f>
        <v>34452.4715416851</v>
      </c>
      <c r="G41" s="5" t="n">
        <f aca="false">G32-G40</f>
        <v>43199.9095111295</v>
      </c>
      <c r="H41" s="5" t="n">
        <f aca="false">H32-H40</f>
        <v>51975.0522756841</v>
      </c>
      <c r="I41" s="5" t="n">
        <f aca="false">I32-I40</f>
        <v>62106.6716079898</v>
      </c>
      <c r="J41" s="5" t="n">
        <f aca="false">J32-J40</f>
        <v>73807.1551861655</v>
      </c>
      <c r="K41" s="5" t="n">
        <f aca="false">K32-K40</f>
        <v>87322.7965981456</v>
      </c>
      <c r="L41" s="5" t="n">
        <f aca="false">L32-L40</f>
        <v>102939.350963712</v>
      </c>
      <c r="M41" s="5" t="n">
        <f aca="false">M32-M40</f>
        <v>120988.531262331</v>
      </c>
      <c r="N41" s="5" t="n">
        <f aca="false">N32-N40</f>
        <v>156070.797028032</v>
      </c>
      <c r="O41" s="5" t="n">
        <f aca="false">O32-O40</f>
        <v>180680.425478887</v>
      </c>
      <c r="P41" s="5" t="n">
        <f aca="false">P32-P40</f>
        <v>209236.992519977</v>
      </c>
      <c r="Q41" s="5" t="n">
        <f aca="false">Q32-Q40</f>
        <v>242073.842790364</v>
      </c>
      <c r="R41" s="5" t="n">
        <f aca="false">R32-R40</f>
        <v>279853.934723094</v>
      </c>
      <c r="S41" s="5" t="n">
        <f aca="false">S32-S40</f>
        <v>324140.616763457</v>
      </c>
      <c r="T41" s="5" t="n">
        <f aca="false">T32-T40</f>
        <v>372905.775838421</v>
      </c>
      <c r="U41" s="5" t="n">
        <f aca="false">U32-U40</f>
        <v>419274.681893985</v>
      </c>
      <c r="V41" s="5" t="n">
        <f aca="false">V32-V40</f>
        <v>471110.52399435</v>
      </c>
      <c r="W41" s="5" t="n">
        <f aca="false">W32-W40</f>
        <v>529046.010609058</v>
      </c>
      <c r="X41" s="5" t="n">
        <f aca="false">X32-X40</f>
        <v>593785.210384262</v>
      </c>
      <c r="Y41" s="5" t="n">
        <f aca="false">Y32-Y40</f>
        <v>666111.303966988</v>
      </c>
    </row>
    <row r="42" customFormat="false" ht="15" hidden="false" customHeight="false" outlineLevel="0" collapsed="false">
      <c r="A42" s="8" t="s">
        <v>185</v>
      </c>
      <c r="B42" s="18" t="n">
        <f aca="false">B41</f>
        <v>17344.7960469695</v>
      </c>
      <c r="C42" s="18" t="n">
        <f aca="false">B42+C41</f>
        <v>32749.536259524</v>
      </c>
      <c r="D42" s="18" t="n">
        <f aca="false">C42+D41</f>
        <v>53489.7083171351</v>
      </c>
      <c r="E42" s="18" t="n">
        <f aca="false">D42+E41</f>
        <v>80522.3965806396</v>
      </c>
      <c r="F42" s="18" t="n">
        <f aca="false">E42+F41</f>
        <v>114974.868122325</v>
      </c>
      <c r="G42" s="18" t="n">
        <f aca="false">F42+G41</f>
        <v>158174.777633454</v>
      </c>
      <c r="H42" s="18" t="n">
        <f aca="false">G42+H41</f>
        <v>210149.829909138</v>
      </c>
      <c r="I42" s="18" t="n">
        <f aca="false">H42+I41</f>
        <v>272256.501517128</v>
      </c>
      <c r="J42" s="18" t="n">
        <f aca="false">I42+J41</f>
        <v>346063.656703294</v>
      </c>
      <c r="K42" s="18" t="n">
        <f aca="false">J42+K41</f>
        <v>433386.453301439</v>
      </c>
      <c r="L42" s="18" t="n">
        <f aca="false">K42+L41</f>
        <v>536325.804265151</v>
      </c>
      <c r="M42" s="18" t="n">
        <f aca="false">L42+M41</f>
        <v>657314.335527482</v>
      </c>
      <c r="N42" s="18" t="n">
        <f aca="false">M42+N41</f>
        <v>813385.132555514</v>
      </c>
      <c r="O42" s="18" t="n">
        <f aca="false">N42+O41</f>
        <v>994065.558034401</v>
      </c>
      <c r="P42" s="18" t="n">
        <f aca="false">O42+P41</f>
        <v>1203302.55055438</v>
      </c>
      <c r="Q42" s="18" t="n">
        <f aca="false">P42+Q41</f>
        <v>1445376.39334474</v>
      </c>
      <c r="R42" s="18" t="n">
        <f aca="false">Q42+R41</f>
        <v>1725230.32806784</v>
      </c>
      <c r="S42" s="18" t="n">
        <f aca="false">R42+S41</f>
        <v>2049370.94483129</v>
      </c>
      <c r="T42" s="18" t="n">
        <f aca="false">S42+T41</f>
        <v>2422276.72066971</v>
      </c>
      <c r="U42" s="18" t="n">
        <f aca="false">T42+U41</f>
        <v>2841551.4025637</v>
      </c>
      <c r="V42" s="18" t="n">
        <f aca="false">U42+V41</f>
        <v>3312661.92655805</v>
      </c>
      <c r="W42" s="18" t="n">
        <f aca="false">V42+W41</f>
        <v>3841707.93716711</v>
      </c>
      <c r="X42" s="18" t="n">
        <f aca="false">W42+X41</f>
        <v>4435493.14755137</v>
      </c>
      <c r="Y42" s="18" t="n">
        <f aca="false">X42+Y41</f>
        <v>5101604.45151836</v>
      </c>
    </row>
    <row r="43" customFormat="false" ht="15" hidden="false" customHeight="false" outlineLevel="0" collapsed="false">
      <c r="A43" s="4" t="s">
        <v>186</v>
      </c>
      <c r="B43" s="5" t="n">
        <f aca="false">B12*(B17+B18)</f>
        <v>182.193064667291</v>
      </c>
      <c r="C43" s="5" t="n">
        <f aca="false">C12*(C17+C18)</f>
        <v>204.015674780775</v>
      </c>
      <c r="D43" s="5" t="n">
        <f aca="false">D12*(D17+D18)</f>
        <v>228.467820347749</v>
      </c>
      <c r="E43" s="5" t="n">
        <f aca="false">E12*(E17+E18)</f>
        <v>255.86838579237</v>
      </c>
      <c r="F43" s="5" t="n">
        <f aca="false">F12*(F17+F18)</f>
        <v>286.575214831211</v>
      </c>
      <c r="G43" s="5" t="n">
        <f aca="false">G12*(G17+G18)</f>
        <v>320.989914866214</v>
      </c>
      <c r="H43" s="5" t="n">
        <f aca="false">H12*(H17+H18)</f>
        <v>359.563261386442</v>
      </c>
      <c r="I43" s="5" t="n">
        <f aca="false">I12*(I17+I18)</f>
        <v>402.801278696132</v>
      </c>
      <c r="J43" s="5" t="n">
        <f aca="false">J12*(J17+J18)</f>
        <v>451.272083267</v>
      </c>
      <c r="K43" s="5" t="n">
        <f aca="false">K12*(K17+K18)</f>
        <v>505.613587355954</v>
      </c>
      <c r="L43" s="5" t="n">
        <f aca="false">L12*(L17+L18)</f>
        <v>566.542173434193</v>
      </c>
      <c r="M43" s="5" t="n">
        <f aca="false">M12*(M17+M18)</f>
        <v>634.862464670775</v>
      </c>
      <c r="N43" s="5" t="n">
        <f aca="false">N12*(N17+N18)</f>
        <v>728.02356703625</v>
      </c>
      <c r="O43" s="5" t="n">
        <f aca="false">O12*(O17+O18)</f>
        <v>835.134787378475</v>
      </c>
      <c r="P43" s="5" t="n">
        <f aca="false">P12*(P17+P18)</f>
        <v>958.337600079458</v>
      </c>
      <c r="Q43" s="5" t="n">
        <f aca="false">Q12*(Q17+Q18)</f>
        <v>1100.11245341312</v>
      </c>
      <c r="R43" s="5" t="n">
        <f aca="false">R12*(R17+R18)</f>
        <v>1263.33449764758</v>
      </c>
      <c r="S43" s="5" t="n">
        <f aca="false">S12*(S17+S18)</f>
        <v>1441.66331926436</v>
      </c>
      <c r="T43" s="5" t="n">
        <f aca="false">T12*(T17+T18)</f>
        <v>1623.51764473808</v>
      </c>
      <c r="U43" s="5" t="n">
        <f aca="false">U12*(U17+U18)</f>
        <v>1828.31144245306</v>
      </c>
      <c r="V43" s="5" t="n">
        <f aca="false">V12*(V17+V18)</f>
        <v>2058.93834381089</v>
      </c>
      <c r="W43" s="5" t="n">
        <f aca="false">W12*(W17+W18)</f>
        <v>2318.65698872777</v>
      </c>
      <c r="X43" s="5" t="n">
        <f aca="false">X12*(X17+X18)</f>
        <v>2611.13706854639</v>
      </c>
      <c r="Y43" s="5" t="n">
        <f aca="false">Y12*(Y17+Y18)</f>
        <v>2940.51117689385</v>
      </c>
    </row>
    <row r="44" customFormat="false" ht="15" hidden="false" customHeight="false" outlineLevel="0" collapsed="false">
      <c r="A44" s="4" t="s">
        <v>187</v>
      </c>
      <c r="B44" s="5" t="n">
        <f aca="false">B12*(B17*Plan_Supuestos!$I$30+B18*Plan_Supuestos!$I$31)+B14</f>
        <v>241.592502343018</v>
      </c>
      <c r="C44" s="5" t="n">
        <f aca="false">C12*(C17*Plan_Supuestos!$I$30+C18*Plan_Supuestos!$I$31)+C14</f>
        <v>269.490049646453</v>
      </c>
      <c r="D44" s="5" t="n">
        <f aca="false">D12*(D17*Plan_Supuestos!$I$30+D18*Plan_Supuestos!$I$31)+D14</f>
        <v>300.765850048171</v>
      </c>
      <c r="E44" s="5" t="n">
        <f aca="false">E12*(E17*Plan_Supuestos!$I$30+E18*Plan_Supuestos!$I$31)+E14</f>
        <v>335.832191885272</v>
      </c>
      <c r="F44" s="5" t="n">
        <f aca="false">F12*(F17*Plan_Supuestos!$I$30+F18*Plan_Supuestos!$I$31)+F14</f>
        <v>375.15215305129</v>
      </c>
      <c r="G44" s="5" t="n">
        <f aca="false">G12*(G17*Plan_Supuestos!$I$30+G18*Plan_Supuestos!$I$31)+G14</f>
        <v>419.245933743937</v>
      </c>
      <c r="H44" s="5" t="n">
        <f aca="false">H12*(H17*Plan_Supuestos!$I$30+H18*Plan_Supuestos!$I$31)+H14</f>
        <v>468.697992021894</v>
      </c>
      <c r="I44" s="5" t="n">
        <f aca="false">I12*(I17*Plan_Supuestos!$I$30+I18*Plan_Supuestos!$I$31)+I14</f>
        <v>524.165086406102</v>
      </c>
      <c r="J44" s="5" t="n">
        <f aca="false">J12*(J17*Plan_Supuestos!$I$30+J18*Plan_Supuestos!$I$31)+J14</f>
        <v>586.385343783858</v>
      </c>
      <c r="K44" s="5" t="n">
        <f aca="false">K12*(K17*Plan_Supuestos!$I$30+K18*Plan_Supuestos!$I$31)+K14</f>
        <v>656.188486886104</v>
      </c>
      <c r="L44" s="5" t="n">
        <f aca="false">L12*(L17*Plan_Supuestos!$I$30+L18*Plan_Supuestos!$I$31)+L14</f>
        <v>734.507373914151</v>
      </c>
      <c r="M44" s="5" t="n">
        <f aca="false">M12*(M17*Plan_Supuestos!$I$30+M18*Plan_Supuestos!$I$31)+M14</f>
        <v>822.391023848242</v>
      </c>
      <c r="N44" s="5" t="n">
        <f aca="false">N12*(N17*Plan_Supuestos!$I$30+N18*Plan_Supuestos!$I$31)+N14</f>
        <v>964.451629118693</v>
      </c>
      <c r="O44" s="5" t="n">
        <f aca="false">O12*(O17*Plan_Supuestos!$I$30+O18*Plan_Supuestos!$I$31)+O14</f>
        <v>1105.98201200263</v>
      </c>
      <c r="P44" s="5" t="n">
        <f aca="false">P12*(P17*Plan_Supuestos!$I$30+P18*Plan_Supuestos!$I$31)+P14</f>
        <v>1268.72300867394</v>
      </c>
      <c r="Q44" s="5" t="n">
        <f aca="false">Q12*(Q17*Plan_Supuestos!$I$30+Q18*Plan_Supuestos!$I$31)+Q14</f>
        <v>1455.93643510114</v>
      </c>
      <c r="R44" s="5" t="n">
        <f aca="false">R12*(R17*Plan_Supuestos!$I$30+R18*Plan_Supuestos!$I$31)+R14</f>
        <v>1671.40193871434</v>
      </c>
      <c r="S44" s="5" t="n">
        <f aca="false">S12*(S17*Plan_Supuestos!$I$30+S18*Plan_Supuestos!$I$31)+S14</f>
        <v>1907.11520006463</v>
      </c>
      <c r="T44" s="5" t="n">
        <f aca="false">T12*(T17*Plan_Supuestos!$I$30+T18*Plan_Supuestos!$I$31)+T14</f>
        <v>2148.37876052947</v>
      </c>
      <c r="U44" s="5" t="n">
        <f aca="false">U12*(U17*Plan_Supuestos!$I$30+U18*Plan_Supuestos!$I$31)+U14</f>
        <v>2420.19626641268</v>
      </c>
      <c r="V44" s="5" t="n">
        <f aca="false">V12*(V17*Plan_Supuestos!$I$30+V18*Plan_Supuestos!$I$31)+V14</f>
        <v>2726.44291353761</v>
      </c>
      <c r="W44" s="5" t="n">
        <f aca="false">W12*(W17*Plan_Supuestos!$I$30+W18*Plan_Supuestos!$I$31)+W14</f>
        <v>3071.48647885064</v>
      </c>
      <c r="X44" s="5" t="n">
        <f aca="false">X12*(X17*Plan_Supuestos!$I$30+X18*Plan_Supuestos!$I$31)+X14</f>
        <v>3460.25014498429</v>
      </c>
      <c r="Y44" s="5" t="n">
        <f aca="false">Y12*(Y17*Plan_Supuestos!$I$30+Y18*Plan_Supuestos!$I$31)+Y14</f>
        <v>3898.28338087505</v>
      </c>
    </row>
    <row r="45" customFormat="false" ht="15" hidden="false" customHeight="false" outlineLevel="0" collapsed="false">
      <c r="A45" s="4" t="s">
        <v>188</v>
      </c>
      <c r="B45" s="5" t="n">
        <f aca="false">B12*(Plan_Supuestos!$B$43+(Plan_Supuestos!$B$44-Plan_Supuestos!$B$43)*B16)*Plan_Supuestos!$J$35</f>
        <v>16.194939081537</v>
      </c>
      <c r="C45" s="5" t="n">
        <f aca="false">C12*(Plan_Supuestos!$B$43+(Plan_Supuestos!$B$44-Plan_Supuestos!$B$43)*C16)*Plan_Supuestos!$J$35</f>
        <v>20.9032453668827</v>
      </c>
      <c r="D45" s="5" t="n">
        <f aca="false">D12*(Plan_Supuestos!$B$43+(Plan_Supuestos!$B$44-Plan_Supuestos!$B$43)*D16)*Plan_Supuestos!$J$35</f>
        <v>26.5991641153305</v>
      </c>
      <c r="E45" s="5" t="n">
        <f aca="false">E12*(Plan_Supuestos!$B$43+(Plan_Supuestos!$B$44-Plan_Supuestos!$B$43)*E16)*Plan_Supuestos!$J$35</f>
        <v>33.4680167070189</v>
      </c>
      <c r="F45" s="5" t="n">
        <f aca="false">F12*(Plan_Supuestos!$B$43+(Plan_Supuestos!$B$44-Plan_Supuestos!$B$43)*F16)*Plan_Supuestos!$J$35</f>
        <v>41.7282968062577</v>
      </c>
      <c r="G45" s="5" t="n">
        <f aca="false">G12*(Plan_Supuestos!$B$43+(Plan_Supuestos!$B$44-Plan_Supuestos!$B$43)*G16)*Plan_Supuestos!$J$35</f>
        <v>51.6375080436953</v>
      </c>
      <c r="H45" s="5" t="n">
        <f aca="false">H12*(Plan_Supuestos!$B$43+(Plan_Supuestos!$B$44-Plan_Supuestos!$B$43)*H16)*Plan_Supuestos!$J$35</f>
        <v>63.4990307084224</v>
      </c>
      <c r="I45" s="5" t="n">
        <f aca="false">I12*(Plan_Supuestos!$B$43+(Plan_Supuestos!$B$44-Plan_Supuestos!$B$43)*I16)*Plan_Supuestos!$J$35</f>
        <v>77.6702017216758</v>
      </c>
      <c r="J45" s="5" t="n">
        <f aca="false">J12*(Plan_Supuestos!$B$43+(Plan_Supuestos!$B$44-Plan_Supuestos!$B$43)*J16)*Plan_Supuestos!$J$35</f>
        <v>94.5718261060683</v>
      </c>
      <c r="K45" s="5" t="n">
        <f aca="false">K12*(Plan_Supuestos!$B$43+(Plan_Supuestos!$B$44-Plan_Supuestos!$B$43)*K16)*Plan_Supuestos!$J$35</f>
        <v>114.699378613156</v>
      </c>
      <c r="L45" s="5" t="n">
        <f aca="false">L12*(Plan_Supuestos!$B$43+(Plan_Supuestos!$B$44-Plan_Supuestos!$B$43)*L16)*Plan_Supuestos!$J$35</f>
        <v>138.636202440367</v>
      </c>
      <c r="M45" s="5" t="n">
        <f aca="false">M12*(Plan_Supuestos!$B$43+(Plan_Supuestos!$B$44-Plan_Supuestos!$B$43)*M16)*Plan_Supuestos!$J$35</f>
        <v>167.069069650204</v>
      </c>
      <c r="N45" s="5" t="n">
        <f aca="false">N12*(Plan_Supuestos!$B$43+(Plan_Supuestos!$B$44-Plan_Supuestos!$B$43)*N16)*Plan_Supuestos!$J$35</f>
        <v>191.585149220066</v>
      </c>
      <c r="O45" s="5" t="n">
        <f aca="false">O12*(Plan_Supuestos!$B$43+(Plan_Supuestos!$B$44-Plan_Supuestos!$B$43)*O16)*Plan_Supuestos!$J$35</f>
        <v>219.77231246802</v>
      </c>
      <c r="P45" s="5" t="n">
        <f aca="false">P12*(Plan_Supuestos!$B$43+(Plan_Supuestos!$B$44-Plan_Supuestos!$B$43)*P16)*Plan_Supuestos!$J$35</f>
        <v>252.194105284068</v>
      </c>
      <c r="Q45" s="5" t="n">
        <f aca="false">Q12*(Plan_Supuestos!$B$43+(Plan_Supuestos!$B$44-Plan_Supuestos!$B$43)*Q16)*Plan_Supuestos!$J$35</f>
        <v>289.50327721398</v>
      </c>
      <c r="R45" s="5" t="n">
        <f aca="false">R12*(Plan_Supuestos!$B$43+(Plan_Supuestos!$B$44-Plan_Supuestos!$B$43)*R16)*Plan_Supuestos!$J$35</f>
        <v>332.456446749364</v>
      </c>
      <c r="S45" s="5" t="n">
        <f aca="false">S12*(Plan_Supuestos!$B$43+(Plan_Supuestos!$B$44-Plan_Supuestos!$B$43)*S16)*Plan_Supuestos!$J$35</f>
        <v>379.385084016937</v>
      </c>
      <c r="T45" s="5" t="n">
        <f aca="false">T12*(Plan_Supuestos!$B$43+(Plan_Supuestos!$B$44-Plan_Supuestos!$B$43)*T16)*Plan_Supuestos!$J$35</f>
        <v>427.24148545739</v>
      </c>
      <c r="U45" s="5" t="n">
        <f aca="false">U12*(Plan_Supuestos!$B$43+(Plan_Supuestos!$B$44-Plan_Supuestos!$B$43)*U16)*Plan_Supuestos!$J$35</f>
        <v>481.134590119226</v>
      </c>
      <c r="V45" s="5" t="n">
        <f aca="false">V12*(Plan_Supuestos!$B$43+(Plan_Supuestos!$B$44-Plan_Supuestos!$B$43)*V16)*Plan_Supuestos!$J$35</f>
        <v>541.825879950235</v>
      </c>
      <c r="W45" s="5" t="n">
        <f aca="false">W12*(Plan_Supuestos!$B$43+(Plan_Supuestos!$B$44-Plan_Supuestos!$B$43)*W16)*Plan_Supuestos!$J$35</f>
        <v>610.172891770467</v>
      </c>
      <c r="X45" s="5" t="n">
        <f aca="false">X12*(Plan_Supuestos!$B$43+(Plan_Supuestos!$B$44-Plan_Supuestos!$B$43)*X16)*Plan_Supuestos!$J$35</f>
        <v>687.141333827999</v>
      </c>
      <c r="Y45" s="5" t="n">
        <f aca="false">Y12*(Plan_Supuestos!$B$43+(Plan_Supuestos!$B$44-Plan_Supuestos!$B$43)*Y16)*Plan_Supuestos!$J$35</f>
        <v>773.81873076154</v>
      </c>
    </row>
    <row r="46" customFormat="false" ht="15" hidden="false" customHeight="false" outlineLevel="0" collapsed="false">
      <c r="A46" s="4" t="s">
        <v>189</v>
      </c>
      <c r="B46" s="5" t="n">
        <f aca="false">B12*B19</f>
        <v>10.1218369259606</v>
      </c>
      <c r="C46" s="5" t="n">
        <f aca="false">C12*C19</f>
        <v>12.5419472201296</v>
      </c>
      <c r="D46" s="5" t="n">
        <f aca="false">D12*D19</f>
        <v>15.4370148883614</v>
      </c>
      <c r="E46" s="5" t="n">
        <f aca="false">E12*E19</f>
        <v>18.8932352378332</v>
      </c>
      <c r="F46" s="5" t="n">
        <f aca="false">F12*F19</f>
        <v>23.0119283858039</v>
      </c>
      <c r="G46" s="5" t="n">
        <f aca="false">G12*G19</f>
        <v>27.9121665101055</v>
      </c>
      <c r="H46" s="5" t="n">
        <f aca="false">H12*H19</f>
        <v>33.7338600638494</v>
      </c>
      <c r="I46" s="5" t="n">
        <f aca="false">I12*I19</f>
        <v>40.6413846218071</v>
      </c>
      <c r="J46" s="5" t="n">
        <f aca="false">J12*J19</f>
        <v>48.8278450004157</v>
      </c>
      <c r="K46" s="5" t="n">
        <f aca="false">K12*K19</f>
        <v>58.5200911291614</v>
      </c>
      <c r="L46" s="5" t="n">
        <f aca="false">L12*L19</f>
        <v>69.9846214242238</v>
      </c>
      <c r="M46" s="5" t="n">
        <f aca="false">M12*M19</f>
        <v>83.534534825102</v>
      </c>
      <c r="N46" s="5" t="n">
        <f aca="false">N12*N19</f>
        <v>95.7925746100328</v>
      </c>
      <c r="O46" s="5" t="n">
        <f aca="false">O12*O19</f>
        <v>109.88615623401</v>
      </c>
      <c r="P46" s="5" t="n">
        <f aca="false">P12*P19</f>
        <v>126.097052642034</v>
      </c>
      <c r="Q46" s="5" t="n">
        <f aca="false">Q12*Q19</f>
        <v>144.75163860699</v>
      </c>
      <c r="R46" s="5" t="n">
        <f aca="false">R12*R19</f>
        <v>166.228223374682</v>
      </c>
      <c r="S46" s="5" t="n">
        <f aca="false">S12*S19</f>
        <v>189.692542008469</v>
      </c>
      <c r="T46" s="5" t="n">
        <f aca="false">T12*T19</f>
        <v>213.620742728695</v>
      </c>
      <c r="U46" s="5" t="n">
        <f aca="false">U12*U19</f>
        <v>240.567295059613</v>
      </c>
      <c r="V46" s="5" t="n">
        <f aca="false">V12*V19</f>
        <v>270.912939975117</v>
      </c>
      <c r="W46" s="5" t="n">
        <f aca="false">W12*W19</f>
        <v>305.086445885233</v>
      </c>
      <c r="X46" s="5" t="n">
        <f aca="false">X12*X19</f>
        <v>343.570666913999</v>
      </c>
      <c r="Y46" s="5" t="n">
        <f aca="false">Y12*Y19</f>
        <v>386.90936538077</v>
      </c>
    </row>
    <row r="47" customFormat="false" ht="15" hidden="false" customHeight="false" outlineLevel="0" collapsed="false">
      <c r="A47" s="4" t="s">
        <v>190</v>
      </c>
      <c r="B47" s="5" t="n">
        <f aca="false">B12*B20</f>
        <v>8.09746954076851</v>
      </c>
      <c r="C47" s="5" t="n">
        <f aca="false">C12*C20</f>
        <v>9.61549286876604</v>
      </c>
      <c r="D47" s="5" t="n">
        <f aca="false">D12*D20</f>
        <v>11.3996417637131</v>
      </c>
      <c r="E47" s="5" t="n">
        <f aca="false">E12*E20</f>
        <v>13.4951680270237</v>
      </c>
      <c r="F47" s="5" t="n">
        <f aca="false">F12*F20</f>
        <v>15.9549370141574</v>
      </c>
      <c r="G47" s="5" t="n">
        <f aca="false">G12*G20</f>
        <v>18.8407123943212</v>
      </c>
      <c r="H47" s="5" t="n">
        <f aca="false">H12*H20</f>
        <v>22.2246607479478</v>
      </c>
      <c r="I47" s="5" t="n">
        <f aca="false">I12*I20</f>
        <v>26.1911145340535</v>
      </c>
      <c r="J47" s="5" t="n">
        <f aca="false">J12*J20</f>
        <v>30.838638947631</v>
      </c>
      <c r="K47" s="5" t="n">
        <f aca="false">K12*K20</f>
        <v>36.28245650008</v>
      </c>
      <c r="L47" s="5" t="n">
        <f aca="false">L12*L20</f>
        <v>42.6572930585745</v>
      </c>
      <c r="M47" s="5" t="n">
        <f aca="false">M12*M20</f>
        <v>50.1207208950612</v>
      </c>
      <c r="N47" s="5" t="n">
        <f aca="false">N12*N20</f>
        <v>57.4755447660197</v>
      </c>
      <c r="O47" s="5" t="n">
        <f aca="false">O12*O20</f>
        <v>65.931693740406</v>
      </c>
      <c r="P47" s="5" t="n">
        <f aca="false">P12*P20</f>
        <v>75.6582315852204</v>
      </c>
      <c r="Q47" s="5" t="n">
        <f aca="false">Q12*Q20</f>
        <v>86.8509831641941</v>
      </c>
      <c r="R47" s="5" t="n">
        <f aca="false">R12*R20</f>
        <v>99.7369340248092</v>
      </c>
      <c r="S47" s="5" t="n">
        <f aca="false">S12*S20</f>
        <v>113.815525205081</v>
      </c>
      <c r="T47" s="5" t="n">
        <f aca="false">T12*T20</f>
        <v>128.172445637217</v>
      </c>
      <c r="U47" s="5" t="n">
        <f aca="false">U12*U20</f>
        <v>144.340377035768</v>
      </c>
      <c r="V47" s="5" t="n">
        <f aca="false">V12*V20</f>
        <v>162.54776398507</v>
      </c>
      <c r="W47" s="5" t="n">
        <f aca="false">W12*W20</f>
        <v>183.05186753114</v>
      </c>
      <c r="X47" s="5" t="n">
        <f aca="false">X12*X20</f>
        <v>206.1424001484</v>
      </c>
      <c r="Y47" s="5" t="n">
        <f aca="false">Y12*Y20</f>
        <v>232.145619228462</v>
      </c>
    </row>
    <row r="48" customFormat="false" ht="15" hidden="false" customHeight="false" outlineLevel="0" collapsed="false">
      <c r="A48" s="4" t="s">
        <v>191</v>
      </c>
      <c r="B48" s="5" t="n">
        <f aca="false">B12*B21</f>
        <v>2.02436738519213</v>
      </c>
      <c r="C48" s="5" t="n">
        <f aca="false">C12*C21</f>
        <v>3.76258416603889</v>
      </c>
      <c r="D48" s="5" t="n">
        <f aca="false">D12*D21</f>
        <v>5.93731341860055</v>
      </c>
      <c r="E48" s="5" t="n">
        <f aca="false">E12*E21</f>
        <v>8.63690753729519</v>
      </c>
      <c r="F48" s="5" t="n">
        <f aca="false">F12*F21</f>
        <v>11.966202760618</v>
      </c>
      <c r="G48" s="5" t="n">
        <f aca="false">G12*G21</f>
        <v>16.0494957433107</v>
      </c>
      <c r="H48" s="5" t="n">
        <f aca="false">H12*H21</f>
        <v>21.0340539221649</v>
      </c>
      <c r="I48" s="5" t="n">
        <f aca="false">I12*I21</f>
        <v>27.0942564145381</v>
      </c>
      <c r="J48" s="5" t="n">
        <f aca="false">J12*J21</f>
        <v>34.4364801581879</v>
      </c>
      <c r="K48" s="5" t="n">
        <f aca="false">K12*K21</f>
        <v>43.3048674355794</v>
      </c>
      <c r="L48" s="5" t="n">
        <f aca="false">L12*L21</f>
        <v>53.9881365272584</v>
      </c>
      <c r="M48" s="5" t="n">
        <f aca="false">M12*M21</f>
        <v>66.8276278600816</v>
      </c>
      <c r="N48" s="5" t="n">
        <f aca="false">N12*N21</f>
        <v>76.6340596880263</v>
      </c>
      <c r="O48" s="5" t="n">
        <f aca="false">O12*O21</f>
        <v>87.9089249872079</v>
      </c>
      <c r="P48" s="5" t="n">
        <f aca="false">P12*P21</f>
        <v>100.877642113627</v>
      </c>
      <c r="Q48" s="5" t="n">
        <f aca="false">Q12*Q21</f>
        <v>115.801310885592</v>
      </c>
      <c r="R48" s="5" t="n">
        <f aca="false">R12*R21</f>
        <v>132.982578699746</v>
      </c>
      <c r="S48" s="5" t="n">
        <f aca="false">S12*S21</f>
        <v>151.754033606775</v>
      </c>
      <c r="T48" s="5" t="n">
        <f aca="false">T12*T21</f>
        <v>170.896594182956</v>
      </c>
      <c r="U48" s="5" t="n">
        <f aca="false">U12*U21</f>
        <v>192.453836047691</v>
      </c>
      <c r="V48" s="5" t="n">
        <f aca="false">V12*V21</f>
        <v>216.730351980094</v>
      </c>
      <c r="W48" s="5" t="n">
        <f aca="false">W12*W21</f>
        <v>244.069156708187</v>
      </c>
      <c r="X48" s="5" t="n">
        <f aca="false">X12*X21</f>
        <v>274.856533531199</v>
      </c>
      <c r="Y48" s="5" t="n">
        <f aca="false">Y12*Y21</f>
        <v>309.527492304616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8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2" t="s">
        <v>195</v>
      </c>
    </row>
    <row r="4" customFormat="false" ht="48" hidden="false" customHeight="true" outlineLevel="0" collapsed="false">
      <c r="A4" s="13" t="s">
        <v>18</v>
      </c>
      <c r="B4" s="13" t="s">
        <v>196</v>
      </c>
      <c r="C4" s="13" t="s">
        <v>197</v>
      </c>
      <c r="D4" s="13" t="s">
        <v>198</v>
      </c>
      <c r="E4" s="13" t="s">
        <v>199</v>
      </c>
      <c r="F4" s="13" t="s">
        <v>200</v>
      </c>
      <c r="G4" s="13" t="s">
        <v>201</v>
      </c>
      <c r="H4" s="13" t="s">
        <v>202</v>
      </c>
    </row>
    <row r="5" customFormat="false" ht="15" hidden="false" customHeight="false" outlineLevel="0" collapsed="false">
      <c r="A5" s="34" t="str">
        <f aca="false">Desglose!B4</f>
        <v>Nativo 18 meses</v>
      </c>
      <c r="B5" s="35" t="n">
        <f aca="false">Desglose!B5</f>
        <v>299</v>
      </c>
      <c r="C5" s="27" t="n">
        <f aca="false">Desglose!B21</f>
        <v>161.159271219808</v>
      </c>
      <c r="D5" s="27" t="n">
        <f aca="false">Desglose!B23</f>
        <v>96.159271219808</v>
      </c>
      <c r="E5" s="36" t="n">
        <f aca="false">Desglose!B24</f>
        <v>0.321602913778622</v>
      </c>
      <c r="F5" s="27" t="n">
        <f aca="false">Desglose!B36</f>
        <v>216.44908902476</v>
      </c>
      <c r="G5" s="27" t="n">
        <f aca="false">Desglose!B38</f>
        <v>151.44908902476</v>
      </c>
      <c r="H5" s="36" t="n">
        <f aca="false">Desglose!B39</f>
        <v>0.506518692390502</v>
      </c>
    </row>
    <row r="6" customFormat="false" ht="15" hidden="false" customHeight="false" outlineLevel="0" collapsed="false">
      <c r="A6" s="34" t="str">
        <f aca="false">Desglose!C4</f>
        <v>Nativo 3 años</v>
      </c>
      <c r="B6" s="35" t="n">
        <f aca="false">Desglose!C5</f>
        <v>349</v>
      </c>
      <c r="C6" s="27" t="n">
        <f aca="false">Desglose!C21</f>
        <v>191.837559763159</v>
      </c>
      <c r="D6" s="27" t="n">
        <f aca="false">Desglose!C23</f>
        <v>126.837559763159</v>
      </c>
      <c r="E6" s="36" t="n">
        <f aca="false">Desglose!C24</f>
        <v>0.363431403332834</v>
      </c>
      <c r="F6" s="27" t="n">
        <f aca="false">Desglose!C36</f>
        <v>254.796949703949</v>
      </c>
      <c r="G6" s="27" t="n">
        <f aca="false">Desglose!C38</f>
        <v>189.796949703949</v>
      </c>
      <c r="H6" s="36" t="n">
        <f aca="false">Desglose!C39</f>
        <v>0.543830801443979</v>
      </c>
    </row>
    <row r="7" customFormat="false" ht="15" hidden="false" customHeight="false" outlineLevel="0" collapsed="false">
      <c r="A7" s="34" t="str">
        <f aca="false">Desglose!D4</f>
        <v>Nativo 6 años</v>
      </c>
      <c r="B7" s="35" t="n">
        <f aca="false">Desglose!D5</f>
        <v>399</v>
      </c>
      <c r="C7" s="27" t="n">
        <f aca="false">Desglose!D21</f>
        <v>220.502631765115</v>
      </c>
      <c r="D7" s="27" t="n">
        <f aca="false">Desglose!D23</f>
        <v>155.502631765115</v>
      </c>
      <c r="E7" s="36" t="n">
        <f aca="false">Desglose!D24</f>
        <v>0.389730906679487</v>
      </c>
      <c r="F7" s="27" t="n">
        <f aca="false">Desglose!D36</f>
        <v>290.628289706394</v>
      </c>
      <c r="G7" s="27" t="n">
        <f aca="false">Desglose!D38</f>
        <v>225.628289706394</v>
      </c>
      <c r="H7" s="36" t="n">
        <f aca="false">Desglose!D39</f>
        <v>0.565484435354371</v>
      </c>
    </row>
    <row r="8" customFormat="false" ht="15" hidden="false" customHeight="false" outlineLevel="0" collapsed="false">
      <c r="A8" s="34" t="str">
        <f aca="false">Desglose!E4</f>
        <v>Vivo 18 meses</v>
      </c>
      <c r="B8" s="35" t="n">
        <f aca="false">Desglose!E5</f>
        <v>199</v>
      </c>
      <c r="C8" s="27" t="n">
        <f aca="false">Desglose!E21</f>
        <v>95.7762610503164</v>
      </c>
      <c r="D8" s="27" t="n">
        <f aca="false">Desglose!E23</f>
        <v>30.7762610503164</v>
      </c>
      <c r="E8" s="36" t="n">
        <f aca="false">Desglose!E24</f>
        <v>0.154654578142294</v>
      </c>
      <c r="F8" s="27" t="n">
        <f aca="false">Desglose!E36</f>
        <v>134.720326312896</v>
      </c>
      <c r="G8" s="27" t="n">
        <f aca="false">Desglose!E38</f>
        <v>69.7203263128955</v>
      </c>
      <c r="H8" s="36" t="n">
        <f aca="false">Desglose!E39</f>
        <v>0.350353398557264</v>
      </c>
    </row>
    <row r="9" customFormat="false" ht="15" hidden="false" customHeight="false" outlineLevel="0" collapsed="false">
      <c r="A9" s="34" t="str">
        <f aca="false">Desglose!F4</f>
        <v>Vivo 3 años</v>
      </c>
      <c r="B9" s="35" t="n">
        <f aca="false">Desglose!F5</f>
        <v>249</v>
      </c>
      <c r="C9" s="27" t="n">
        <f aca="false">Desglose!F21</f>
        <v>126.454549593667</v>
      </c>
      <c r="D9" s="27" t="n">
        <f aca="false">Desglose!F23</f>
        <v>61.4545495936674</v>
      </c>
      <c r="E9" s="36" t="n">
        <f aca="false">Desglose!F24</f>
        <v>0.246805420054889</v>
      </c>
      <c r="F9" s="27" t="n">
        <f aca="false">Desglose!F36</f>
        <v>173.068186992084</v>
      </c>
      <c r="G9" s="27" t="n">
        <f aca="false">Desglose!F38</f>
        <v>108.068186992084</v>
      </c>
      <c r="H9" s="36" t="n">
        <f aca="false">Desglose!F39</f>
        <v>0.43400878310074</v>
      </c>
    </row>
    <row r="10" customFormat="false" ht="15" hidden="false" customHeight="false" outlineLevel="0" collapsed="false">
      <c r="A10" s="34" t="str">
        <f aca="false">Desglose!G4</f>
        <v>Vivo 6 años</v>
      </c>
      <c r="B10" s="35" t="n">
        <f aca="false">Desglose!G5</f>
        <v>329</v>
      </c>
      <c r="C10" s="27" t="n">
        <f aca="false">Desglose!G21</f>
        <v>174.734524646471</v>
      </c>
      <c r="D10" s="27" t="n">
        <f aca="false">Desglose!G23</f>
        <v>109.734524646471</v>
      </c>
      <c r="E10" s="36" t="n">
        <f aca="false">Desglose!G24</f>
        <v>0.333539588591098</v>
      </c>
      <c r="F10" s="27" t="n">
        <f aca="false">Desglose!G36</f>
        <v>233.418155808089</v>
      </c>
      <c r="G10" s="27" t="n">
        <f aca="false">Desglose!G38</f>
        <v>168.418155808089</v>
      </c>
      <c r="H10" s="36" t="n">
        <f aca="false">Desglose!G39</f>
        <v>0.511909288170483</v>
      </c>
    </row>
    <row r="11" customFormat="false" ht="15" hidden="false" customHeight="false" outlineLevel="0" collapsed="false">
      <c r="A11" s="34" t="str">
        <f aca="false">Desglose!H4</f>
        <v>Ritual 1 filtro sin kit</v>
      </c>
      <c r="B11" s="35" t="n">
        <f aca="false">Desglose!H5</f>
        <v>99</v>
      </c>
      <c r="C11" s="27" t="n">
        <f aca="false">Desglose!H21</f>
        <v>35.3347823915212</v>
      </c>
      <c r="D11" s="27" t="n">
        <f aca="false">Desglose!H23</f>
        <v>-29.6652176084788</v>
      </c>
      <c r="E11" s="36" t="n">
        <f aca="false">Desglose!H24</f>
        <v>-0.299648662711907</v>
      </c>
      <c r="F11" s="27" t="n">
        <f aca="false">Desglose!H36</f>
        <v>59.1684779894015</v>
      </c>
      <c r="G11" s="27" t="n">
        <f aca="false">Desglose!H38</f>
        <v>-5.83152201059852</v>
      </c>
      <c r="H11" s="36" t="n">
        <f aca="false">Desglose!H39</f>
        <v>-0.0589042627333184</v>
      </c>
    </row>
    <row r="12" customFormat="false" ht="15" hidden="false" customHeight="false" outlineLevel="0" collapsed="false">
      <c r="A12" s="34" t="str">
        <f aca="false">Desglose!I4</f>
        <v>Ritual 1 filtro con kit</v>
      </c>
      <c r="B12" s="35" t="n">
        <f aca="false">Desglose!I5</f>
        <v>99</v>
      </c>
      <c r="C12" s="27" t="n">
        <f aca="false">Desglose!I21</f>
        <v>22.3403847152458</v>
      </c>
      <c r="D12" s="27" t="n">
        <f aca="false">Desglose!I23</f>
        <v>-42.6596152847542</v>
      </c>
      <c r="E12" s="36" t="n">
        <f aca="false">Desglose!I24</f>
        <v>-0.430905204896507</v>
      </c>
      <c r="F12" s="27" t="n">
        <f aca="false">Desglose!I36</f>
        <v>42.9254808940572</v>
      </c>
      <c r="G12" s="27" t="n">
        <f aca="false">Desglose!I38</f>
        <v>-22.0745191059428</v>
      </c>
      <c r="H12" s="36" t="n">
        <f aca="false">Desglose!I39</f>
        <v>-0.222974940464069</v>
      </c>
    </row>
    <row r="13" customFormat="false" ht="15" hidden="false" customHeight="false" outlineLevel="0" collapsed="false">
      <c r="A13" s="34" t="str">
        <f aca="false">Desglose!J4</f>
        <v>Ritual Dúo con kit</v>
      </c>
      <c r="B13" s="35" t="n">
        <f aca="false">Desglose!J5</f>
        <v>179</v>
      </c>
      <c r="C13" s="27" t="n">
        <f aca="false">Desglose!J21</f>
        <v>48.6579974982881</v>
      </c>
      <c r="D13" s="27" t="n">
        <f aca="false">Desglose!J23</f>
        <v>-16.3420025017119</v>
      </c>
      <c r="E13" s="36" t="n">
        <f aca="false">Desglose!J24</f>
        <v>-0.0912961033615189</v>
      </c>
      <c r="F13" s="27" t="n">
        <f aca="false">Desglose!J36</f>
        <v>75.8224968728601</v>
      </c>
      <c r="G13" s="27" t="n">
        <f aca="false">Desglose!J38</f>
        <v>10.8224968728601</v>
      </c>
      <c r="H13" s="36" t="n">
        <f aca="false">Desglose!J39</f>
        <v>0.0604608763846935</v>
      </c>
    </row>
    <row r="14" customFormat="false" ht="15" hidden="false" customHeight="false" outlineLevel="0" collapsed="false">
      <c r="A14" s="34" t="str">
        <f aca="false">Desglose!K4</f>
        <v>Ritual Familia con kit</v>
      </c>
      <c r="B14" s="35" t="n">
        <f aca="false">Desglose!K5</f>
        <v>249</v>
      </c>
      <c r="C14" s="27" t="n">
        <f aca="false">Desglose!K21</f>
        <v>68.4373092643813</v>
      </c>
      <c r="D14" s="27" t="n">
        <f aca="false">Desglose!K23</f>
        <v>3.43730926438133</v>
      </c>
      <c r="E14" s="36" t="n">
        <f aca="false">Desglose!K24</f>
        <v>0.0138044548770334</v>
      </c>
      <c r="F14" s="27" t="n">
        <f aca="false">Desglose!K36</f>
        <v>100.546636580477</v>
      </c>
      <c r="G14" s="27" t="n">
        <f aca="false">Desglose!K38</f>
        <v>35.5466365804767</v>
      </c>
      <c r="H14" s="36" t="n">
        <f aca="false">Desglose!K39</f>
        <v>0.14275757662842</v>
      </c>
    </row>
    <row r="15" customFormat="false" ht="15" hidden="false" customHeight="false" outlineLevel="0" collapsed="false">
      <c r="A15" s="34" t="str">
        <f aca="false">Desglose!L4</f>
        <v>Repuesto Nativo</v>
      </c>
      <c r="B15" s="35" t="n">
        <f aca="false">Desglose!L5</f>
        <v>199</v>
      </c>
      <c r="C15" s="27" t="n">
        <f aca="false">Desglose!L21</f>
        <v>111.698973695893</v>
      </c>
      <c r="D15" s="27" t="n">
        <f aca="false">Desglose!L23</f>
        <v>111.698973695893</v>
      </c>
      <c r="E15" s="36" t="n">
        <f aca="false">Desglose!L24</f>
        <v>0.561301375356248</v>
      </c>
      <c r="F15" s="27" t="n">
        <f aca="false">Desglose!L36</f>
        <v>154.623717119867</v>
      </c>
      <c r="G15" s="27" t="n">
        <f aca="false">Desglose!L38</f>
        <v>154.623717119867</v>
      </c>
      <c r="H15" s="36" t="n">
        <f aca="false">Desglose!L39</f>
        <v>0.777003603617421</v>
      </c>
    </row>
    <row r="16" customFormat="false" ht="15" hidden="false" customHeight="false" outlineLevel="0" collapsed="false">
      <c r="A16" s="34" t="str">
        <f aca="false">Desglose!M4</f>
        <v>Repuesto Vivo</v>
      </c>
      <c r="B16" s="35" t="n">
        <f aca="false">Desglose!M5</f>
        <v>99</v>
      </c>
      <c r="C16" s="27" t="n">
        <f aca="false">Desglose!M21</f>
        <v>46.3159635264018</v>
      </c>
      <c r="D16" s="27" t="n">
        <f aca="false">Desglose!M23</f>
        <v>46.3159635264018</v>
      </c>
      <c r="E16" s="36" t="n">
        <f aca="false">Desglose!M24</f>
        <v>0.4678380154182</v>
      </c>
      <c r="F16" s="27" t="n">
        <f aca="false">Desglose!M36</f>
        <v>72.8949544080023</v>
      </c>
      <c r="G16" s="27" t="n">
        <f aca="false">Desglose!M38</f>
        <v>72.8949544080023</v>
      </c>
      <c r="H16" s="36" t="n">
        <f aca="false">Desglose!M39</f>
        <v>0.736312670787902</v>
      </c>
    </row>
    <row r="17" customFormat="false" ht="15" hidden="false" customHeight="false" outlineLevel="0" collapsed="false">
      <c r="A17" s="34" t="str">
        <f aca="false">Desglose!N4</f>
        <v>Repuesto Ritual</v>
      </c>
      <c r="B17" s="35" t="n">
        <f aca="false">Desglose!N5</f>
        <v>49</v>
      </c>
      <c r="C17" s="27" t="n">
        <f aca="false">Desglose!N21</f>
        <v>2.64327730677542</v>
      </c>
      <c r="D17" s="27" t="n">
        <f aca="false">Desglose!N23</f>
        <v>2.64327730677542</v>
      </c>
      <c r="E17" s="36" t="n">
        <f aca="false">Desglose!N24</f>
        <v>0.0539444348321514</v>
      </c>
      <c r="F17" s="27" t="n">
        <f aca="false">Desglose!N36</f>
        <v>18.3040966334693</v>
      </c>
      <c r="G17" s="27" t="n">
        <f aca="false">Desglose!N38</f>
        <v>18.3040966334693</v>
      </c>
      <c r="H17" s="36" t="n">
        <f aca="false">Desglose!N39</f>
        <v>0.373552992519781</v>
      </c>
    </row>
    <row r="19" customFormat="false" ht="15" hidden="false" customHeight="false" outlineLevel="0" collapsed="false">
      <c r="A19" s="2" t="s">
        <v>203</v>
      </c>
    </row>
    <row r="20" customFormat="false" ht="15" hidden="false" customHeight="false" outlineLevel="0" collapsed="false">
      <c r="A20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3" customFormat="false" ht="15" hidden="false" customHeight="false" outlineLevel="0" collapsed="false">
      <c r="A3" s="11" t="s">
        <v>207</v>
      </c>
      <c r="B3" s="12"/>
      <c r="C3" s="12"/>
    </row>
    <row r="4" customFormat="false" ht="15" hidden="false" customHeight="false" outlineLevel="0" collapsed="false">
      <c r="A4" s="4" t="s">
        <v>208</v>
      </c>
      <c r="B4" s="22" t="n">
        <v>0.18</v>
      </c>
      <c r="C4" s="2" t="s">
        <v>209</v>
      </c>
    </row>
    <row r="5" customFormat="false" ht="15" hidden="false" customHeight="false" outlineLevel="0" collapsed="false">
      <c r="A5" s="4" t="s">
        <v>210</v>
      </c>
      <c r="B5" s="37" t="n">
        <v>3.5</v>
      </c>
      <c r="C5" s="2" t="s">
        <v>211</v>
      </c>
    </row>
    <row r="6" customFormat="false" ht="15" hidden="false" customHeight="false" outlineLevel="0" collapsed="false">
      <c r="A6" s="4" t="s">
        <v>212</v>
      </c>
      <c r="B6" s="38" t="n">
        <v>65</v>
      </c>
      <c r="C6" s="2" t="s">
        <v>213</v>
      </c>
    </row>
    <row r="7" customFormat="false" ht="15" hidden="false" customHeight="false" outlineLevel="0" collapsed="false">
      <c r="A7" s="4" t="s">
        <v>214</v>
      </c>
      <c r="B7" s="22" t="n">
        <v>0.8</v>
      </c>
      <c r="C7" s="2" t="s">
        <v>215</v>
      </c>
    </row>
    <row r="8" customFormat="false" ht="15" hidden="false" customHeight="false" outlineLevel="0" collapsed="false">
      <c r="A8" s="4" t="s">
        <v>216</v>
      </c>
      <c r="B8" s="22" t="n">
        <v>1</v>
      </c>
      <c r="C8" s="2" t="s">
        <v>217</v>
      </c>
    </row>
    <row r="10" customFormat="false" ht="15" hidden="false" customHeight="false" outlineLevel="0" collapsed="false">
      <c r="A10" s="11" t="s">
        <v>218</v>
      </c>
      <c r="B10" s="12"/>
      <c r="C10" s="12"/>
    </row>
    <row r="11" customFormat="false" ht="15" hidden="false" customHeight="false" outlineLevel="0" collapsed="false">
      <c r="A11" s="4" t="s">
        <v>219</v>
      </c>
      <c r="B11" s="17" t="n">
        <f aca="false">Costo_Lima!F35</f>
        <v>22.4199114837147</v>
      </c>
      <c r="C11" s="2" t="s">
        <v>220</v>
      </c>
    </row>
    <row r="12" customFormat="false" ht="15" hidden="false" customHeight="false" outlineLevel="0" collapsed="false">
      <c r="A12" s="4" t="s">
        <v>221</v>
      </c>
      <c r="B12" s="17" t="n">
        <f aca="false">Costo_Lima!F36</f>
        <v>2.51652067674348</v>
      </c>
      <c r="C12" s="2"/>
    </row>
    <row r="13" customFormat="false" ht="15" hidden="false" customHeight="false" outlineLevel="0" collapsed="false">
      <c r="A13" s="4" t="s">
        <v>222</v>
      </c>
      <c r="B13" s="17" t="n">
        <f aca="false">Costo_Lima!F37</f>
        <v>16.2429970953443</v>
      </c>
      <c r="C13" s="2" t="s">
        <v>223</v>
      </c>
    </row>
    <row r="15" customFormat="false" ht="15" hidden="false" customHeight="false" outlineLevel="0" collapsed="false">
      <c r="A15" s="11" t="s">
        <v>224</v>
      </c>
      <c r="B15" s="12"/>
      <c r="C15" s="12"/>
    </row>
    <row r="16" customFormat="false" ht="15" hidden="false" customHeight="false" outlineLevel="0" collapsed="false">
      <c r="A16" s="4" t="s">
        <v>225</v>
      </c>
      <c r="B16" s="38" t="n">
        <v>3.5</v>
      </c>
      <c r="C16" s="2" t="s">
        <v>226</v>
      </c>
    </row>
    <row r="17" customFormat="false" ht="15" hidden="false" customHeight="false" outlineLevel="0" collapsed="false">
      <c r="A17" s="4" t="s">
        <v>227</v>
      </c>
      <c r="B17" s="38" t="n">
        <v>5</v>
      </c>
      <c r="C17" s="2" t="s">
        <v>226</v>
      </c>
    </row>
    <row r="18" customFormat="false" ht="15" hidden="false" customHeight="false" outlineLevel="0" collapsed="false">
      <c r="A18" s="4" t="s">
        <v>228</v>
      </c>
      <c r="B18" s="38" t="n">
        <v>12.5</v>
      </c>
      <c r="C18" s="2" t="s">
        <v>229</v>
      </c>
    </row>
    <row r="19" customFormat="false" ht="15" hidden="false" customHeight="false" outlineLevel="0" collapsed="false">
      <c r="A19" s="4" t="s">
        <v>230</v>
      </c>
      <c r="B19" s="38" t="n">
        <v>50</v>
      </c>
      <c r="C19" s="2" t="s">
        <v>231</v>
      </c>
    </row>
    <row r="20" customFormat="false" ht="15" hidden="false" customHeight="false" outlineLevel="0" collapsed="false">
      <c r="A20" s="4" t="s">
        <v>232</v>
      </c>
      <c r="B20" s="39" t="n">
        <v>1</v>
      </c>
      <c r="C20" s="2" t="s">
        <v>233</v>
      </c>
    </row>
    <row r="22" customFormat="false" ht="15" hidden="false" customHeight="false" outlineLevel="0" collapsed="false">
      <c r="A22" s="11" t="s">
        <v>234</v>
      </c>
      <c r="B22" s="12"/>
      <c r="C22" s="12"/>
    </row>
    <row r="23" customFormat="false" ht="15" hidden="false" customHeight="false" outlineLevel="0" collapsed="false">
      <c r="A23" s="4" t="s">
        <v>235</v>
      </c>
      <c r="B23" s="22" t="n">
        <v>0.5</v>
      </c>
      <c r="C23" s="2" t="s">
        <v>236</v>
      </c>
    </row>
    <row r="24" customFormat="false" ht="15" hidden="false" customHeight="false" outlineLevel="0" collapsed="false">
      <c r="A24" s="4" t="s">
        <v>237</v>
      </c>
      <c r="B24" s="22" t="n">
        <v>0.2</v>
      </c>
      <c r="C24" s="2" t="s">
        <v>238</v>
      </c>
    </row>
    <row r="25" customFormat="false" ht="15" hidden="false" customHeight="false" outlineLevel="0" collapsed="false">
      <c r="A25" s="4" t="s">
        <v>239</v>
      </c>
      <c r="B25" s="22" t="n">
        <v>0.15</v>
      </c>
      <c r="C25" s="2" t="s">
        <v>238</v>
      </c>
    </row>
    <row r="26" customFormat="false" ht="15" hidden="false" customHeight="false" outlineLevel="0" collapsed="false">
      <c r="A26" s="4" t="s">
        <v>240</v>
      </c>
      <c r="B26" s="22" t="n">
        <v>0.15</v>
      </c>
      <c r="C26" s="2" t="s">
        <v>238</v>
      </c>
    </row>
    <row r="27" customFormat="false" ht="15" hidden="false" customHeight="false" outlineLevel="0" collapsed="false">
      <c r="A27" s="4" t="s">
        <v>241</v>
      </c>
      <c r="B27" s="40" t="n">
        <v>0.0349</v>
      </c>
      <c r="C27" s="2" t="s">
        <v>242</v>
      </c>
    </row>
    <row r="28" customFormat="false" ht="15" hidden="false" customHeight="false" outlineLevel="0" collapsed="false">
      <c r="A28" s="4" t="s">
        <v>243</v>
      </c>
      <c r="B28" s="40" t="n">
        <v>0.0648</v>
      </c>
      <c r="C28" s="2" t="s">
        <v>244</v>
      </c>
    </row>
    <row r="29" customFormat="false" ht="15" hidden="false" customHeight="false" outlineLevel="0" collapsed="false">
      <c r="A29" s="4" t="s">
        <v>245</v>
      </c>
      <c r="B29" s="40" t="n">
        <v>0.0898</v>
      </c>
      <c r="C29" s="2" t="s">
        <v>246</v>
      </c>
    </row>
    <row r="30" customFormat="false" ht="15" hidden="false" customHeight="false" outlineLevel="0" collapsed="false">
      <c r="A30" s="4" t="s">
        <v>247</v>
      </c>
      <c r="B30" s="38" t="n">
        <v>1</v>
      </c>
      <c r="C30" s="2" t="s">
        <v>248</v>
      </c>
    </row>
    <row r="31" customFormat="false" ht="15" hidden="false" customHeight="false" outlineLevel="0" collapsed="false">
      <c r="A31" s="4" t="s">
        <v>249</v>
      </c>
      <c r="B31" s="41" t="n">
        <f aca="false">B24*B27+B25*B28+B26*B29</f>
        <v>0.03017</v>
      </c>
      <c r="C31" s="2"/>
    </row>
    <row r="32" customFormat="false" ht="15" hidden="false" customHeight="false" outlineLevel="0" collapsed="false">
      <c r="A32" s="4" t="s">
        <v>250</v>
      </c>
      <c r="B32" s="42" t="n">
        <f aca="false">(B24+B25+B26)*B30</f>
        <v>0.5</v>
      </c>
      <c r="C32" s="2"/>
    </row>
    <row r="33" customFormat="false" ht="15" hidden="false" customHeight="false" outlineLevel="0" collapsed="false">
      <c r="A33" s="4" t="s">
        <v>251</v>
      </c>
      <c r="B33" s="28" t="n">
        <f aca="false">SUM(B23:B26)</f>
        <v>1</v>
      </c>
      <c r="C33" s="2"/>
    </row>
    <row r="35" customFormat="false" ht="15" hidden="false" customHeight="false" outlineLevel="0" collapsed="false">
      <c r="A35" s="11" t="s">
        <v>252</v>
      </c>
      <c r="B35" s="12"/>
      <c r="C35" s="12"/>
    </row>
    <row r="36" customFormat="false" ht="15" hidden="false" customHeight="false" outlineLevel="0" collapsed="false">
      <c r="A36" s="4" t="s">
        <v>253</v>
      </c>
      <c r="B36" s="38" t="n">
        <v>400</v>
      </c>
      <c r="C36" s="2" t="s">
        <v>248</v>
      </c>
    </row>
    <row r="37" customFormat="false" ht="15" hidden="false" customHeight="false" outlineLevel="0" collapsed="false">
      <c r="A37" s="4" t="s">
        <v>254</v>
      </c>
      <c r="B37" s="15" t="n">
        <v>100</v>
      </c>
      <c r="C37" s="2" t="s">
        <v>255</v>
      </c>
    </row>
    <row r="38" customFormat="false" ht="15" hidden="false" customHeight="false" outlineLevel="0" collapsed="false">
      <c r="A38" s="4" t="s">
        <v>256</v>
      </c>
      <c r="B38" s="42" t="n">
        <f aca="false">B36/B37</f>
        <v>4</v>
      </c>
      <c r="C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5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31.5" hidden="false" customHeight="true" outlineLevel="0" collapsed="false">
      <c r="A4" s="43" t="s">
        <v>18</v>
      </c>
      <c r="B4" s="44" t="s">
        <v>259</v>
      </c>
      <c r="C4" s="44" t="s">
        <v>260</v>
      </c>
      <c r="D4" s="44" t="s">
        <v>261</v>
      </c>
      <c r="E4" s="44" t="s">
        <v>262</v>
      </c>
      <c r="F4" s="44" t="s">
        <v>90</v>
      </c>
      <c r="G4" s="44" t="s">
        <v>263</v>
      </c>
      <c r="H4" s="44" t="s">
        <v>264</v>
      </c>
      <c r="I4" s="44" t="s">
        <v>265</v>
      </c>
      <c r="J4" s="44" t="s">
        <v>266</v>
      </c>
      <c r="K4" s="44" t="s">
        <v>267</v>
      </c>
      <c r="L4" s="44" t="s">
        <v>268</v>
      </c>
      <c r="M4" s="44" t="s">
        <v>269</v>
      </c>
      <c r="N4" s="44" t="s">
        <v>270</v>
      </c>
    </row>
    <row r="5" customFormat="false" ht="15" hidden="false" customHeight="false" outlineLevel="0" collapsed="false">
      <c r="A5" s="4" t="s">
        <v>271</v>
      </c>
      <c r="B5" s="15" t="n">
        <v>299</v>
      </c>
      <c r="C5" s="15" t="n">
        <v>349</v>
      </c>
      <c r="D5" s="15" t="n">
        <v>399</v>
      </c>
      <c r="E5" s="15" t="n">
        <v>199</v>
      </c>
      <c r="F5" s="15" t="n">
        <v>249</v>
      </c>
      <c r="G5" s="15" t="n">
        <v>329</v>
      </c>
      <c r="H5" s="15" t="n">
        <v>99</v>
      </c>
      <c r="I5" s="15" t="n">
        <v>99</v>
      </c>
      <c r="J5" s="15" t="n">
        <v>179</v>
      </c>
      <c r="K5" s="15" t="n">
        <v>249</v>
      </c>
      <c r="L5" s="15" t="n">
        <v>199</v>
      </c>
      <c r="M5" s="15" t="n">
        <v>99</v>
      </c>
      <c r="N5" s="15" t="n">
        <v>49</v>
      </c>
    </row>
    <row r="6" customFormat="false" ht="15" hidden="false" customHeight="false" outlineLevel="0" collapsed="false">
      <c r="A6" s="4" t="s">
        <v>272</v>
      </c>
      <c r="B6" s="24" t="n">
        <v>1</v>
      </c>
      <c r="C6" s="24" t="n">
        <v>1</v>
      </c>
      <c r="D6" s="24" t="n">
        <v>1</v>
      </c>
      <c r="E6" s="24" t="n">
        <v>1</v>
      </c>
      <c r="F6" s="24" t="n">
        <v>1</v>
      </c>
      <c r="G6" s="24" t="n">
        <v>1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</row>
    <row r="7" customFormat="false" ht="15" hidden="false" customHeight="false" outlineLevel="0" collapsed="false">
      <c r="A7" s="4" t="s">
        <v>83</v>
      </c>
      <c r="B7" s="24" t="n">
        <v>0</v>
      </c>
      <c r="C7" s="24" t="n">
        <v>1</v>
      </c>
      <c r="D7" s="24" t="n">
        <v>3</v>
      </c>
      <c r="E7" s="24" t="n">
        <v>0</v>
      </c>
      <c r="F7" s="24" t="n">
        <v>1</v>
      </c>
      <c r="G7" s="24" t="n">
        <v>3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1</v>
      </c>
      <c r="M7" s="24" t="n">
        <v>1</v>
      </c>
      <c r="N7" s="24" t="n">
        <v>0</v>
      </c>
    </row>
    <row r="8" customFormat="false" ht="15" hidden="false" customHeight="false" outlineLevel="0" collapsed="false">
      <c r="A8" s="4" t="s">
        <v>273</v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1</v>
      </c>
      <c r="I8" s="24" t="n">
        <v>2</v>
      </c>
      <c r="J8" s="24" t="n">
        <v>4</v>
      </c>
      <c r="K8" s="24" t="n">
        <v>6</v>
      </c>
      <c r="L8" s="24" t="n">
        <v>0</v>
      </c>
      <c r="M8" s="24" t="n">
        <v>0</v>
      </c>
      <c r="N8" s="24" t="n">
        <v>1</v>
      </c>
    </row>
    <row r="9" customFormat="false" ht="15" hidden="false" customHeight="false" outlineLevel="0" collapsed="false">
      <c r="A9" s="4" t="s">
        <v>274</v>
      </c>
      <c r="B9" s="24" t="n">
        <v>1</v>
      </c>
      <c r="C9" s="24" t="n">
        <v>1</v>
      </c>
      <c r="D9" s="24" t="n">
        <v>1</v>
      </c>
      <c r="E9" s="24" t="n">
        <v>1</v>
      </c>
      <c r="F9" s="24" t="n">
        <v>1</v>
      </c>
      <c r="G9" s="24" t="n">
        <v>1</v>
      </c>
      <c r="H9" s="24" t="n">
        <v>1</v>
      </c>
      <c r="I9" s="24" t="n">
        <v>1</v>
      </c>
      <c r="J9" s="24" t="n">
        <v>1</v>
      </c>
      <c r="K9" s="24" t="n">
        <v>1</v>
      </c>
      <c r="L9" s="24" t="n">
        <v>0</v>
      </c>
      <c r="M9" s="24" t="n">
        <v>0</v>
      </c>
      <c r="N9" s="24" t="n">
        <v>0</v>
      </c>
    </row>
    <row r="11" customFormat="false" ht="15" hidden="false" customHeight="false" outlineLevel="0" collapsed="false">
      <c r="A11" s="11" t="s">
        <v>275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4" t="s">
        <v>276</v>
      </c>
      <c r="B12" s="6" t="n">
        <f aca="false">B5</f>
        <v>299</v>
      </c>
      <c r="C12" s="6" t="n">
        <f aca="false">C5</f>
        <v>349</v>
      </c>
      <c r="D12" s="6" t="n">
        <f aca="false">D5</f>
        <v>399</v>
      </c>
      <c r="E12" s="6" t="n">
        <f aca="false">E5</f>
        <v>199</v>
      </c>
      <c r="F12" s="6" t="n">
        <f aca="false">F5</f>
        <v>249</v>
      </c>
      <c r="G12" s="6" t="n">
        <f aca="false">G5</f>
        <v>329</v>
      </c>
      <c r="H12" s="6" t="n">
        <f aca="false">H5</f>
        <v>99</v>
      </c>
      <c r="I12" s="6" t="n">
        <f aca="false">I5</f>
        <v>99</v>
      </c>
      <c r="J12" s="6" t="n">
        <f aca="false">J5</f>
        <v>179</v>
      </c>
      <c r="K12" s="6" t="n">
        <f aca="false">K5</f>
        <v>249</v>
      </c>
      <c r="L12" s="6" t="n">
        <f aca="false">L5</f>
        <v>199</v>
      </c>
      <c r="M12" s="6" t="n">
        <f aca="false">M5</f>
        <v>99</v>
      </c>
      <c r="N12" s="6" t="n">
        <f aca="false">N5</f>
        <v>49</v>
      </c>
    </row>
    <row r="13" customFormat="false" ht="15" hidden="false" customHeight="false" outlineLevel="0" collapsed="false">
      <c r="A13" s="4" t="s">
        <v>208</v>
      </c>
      <c r="B13" s="6" t="n">
        <f aca="false">-(B5-B5/(1+Supuestos!$B$4))</f>
        <v>-45.6101694915254</v>
      </c>
      <c r="C13" s="6" t="n">
        <f aca="false">-(C5-C5/(1+Supuestos!$B$4))</f>
        <v>-53.2372881355932</v>
      </c>
      <c r="D13" s="6" t="n">
        <f aca="false">-(D5-D5/(1+Supuestos!$B$4))</f>
        <v>-60.864406779661</v>
      </c>
      <c r="E13" s="6" t="n">
        <f aca="false">-(E5-E5/(1+Supuestos!$B$4))</f>
        <v>-30.3559322033898</v>
      </c>
      <c r="F13" s="6" t="n">
        <f aca="false">-(F5-F5/(1+Supuestos!$B$4))</f>
        <v>-37.9830508474576</v>
      </c>
      <c r="G13" s="6" t="n">
        <f aca="false">-(G5-G5/(1+Supuestos!$B$4))</f>
        <v>-50.1864406779661</v>
      </c>
      <c r="H13" s="6" t="n">
        <f aca="false">-(H5-H5/(1+Supuestos!$B$4))</f>
        <v>-15.1016949152542</v>
      </c>
      <c r="I13" s="6" t="n">
        <f aca="false">-(I5-I5/(1+Supuestos!$B$4))</f>
        <v>-15.1016949152542</v>
      </c>
      <c r="J13" s="6" t="n">
        <f aca="false">-(J5-J5/(1+Supuestos!$B$4))</f>
        <v>-27.3050847457627</v>
      </c>
      <c r="K13" s="6" t="n">
        <f aca="false">-(K5-K5/(1+Supuestos!$B$4))</f>
        <v>-37.9830508474576</v>
      </c>
      <c r="L13" s="6" t="n">
        <f aca="false">-(L5-L5/(1+Supuestos!$B$4))</f>
        <v>-30.3559322033898</v>
      </c>
      <c r="M13" s="6" t="n">
        <f aca="false">-(M5-M5/(1+Supuestos!$B$4))</f>
        <v>-15.1016949152542</v>
      </c>
      <c r="N13" s="6" t="n">
        <f aca="false">-(N5-N5/(1+Supuestos!$B$4))</f>
        <v>-7.47457627118644</v>
      </c>
    </row>
    <row r="14" customFormat="false" ht="15" hidden="false" customHeight="false" outlineLevel="0" collapsed="false">
      <c r="A14" s="8" t="s">
        <v>277</v>
      </c>
      <c r="B14" s="45" t="n">
        <f aca="false">B5/(1+Supuestos!$B$4)</f>
        <v>253.389830508475</v>
      </c>
      <c r="C14" s="45" t="n">
        <f aca="false">C5/(1+Supuestos!$B$4)</f>
        <v>295.762711864407</v>
      </c>
      <c r="D14" s="45" t="n">
        <f aca="false">D5/(1+Supuestos!$B$4)</f>
        <v>338.135593220339</v>
      </c>
      <c r="E14" s="45" t="n">
        <f aca="false">E5/(1+Supuestos!$B$4)</f>
        <v>168.64406779661</v>
      </c>
      <c r="F14" s="45" t="n">
        <f aca="false">F5/(1+Supuestos!$B$4)</f>
        <v>211.016949152542</v>
      </c>
      <c r="G14" s="45" t="n">
        <f aca="false">G5/(1+Supuestos!$B$4)</f>
        <v>278.813559322034</v>
      </c>
      <c r="H14" s="45" t="n">
        <f aca="false">H5/(1+Supuestos!$B$4)</f>
        <v>83.8983050847458</v>
      </c>
      <c r="I14" s="45" t="n">
        <f aca="false">I5/(1+Supuestos!$B$4)</f>
        <v>83.8983050847458</v>
      </c>
      <c r="J14" s="45" t="n">
        <f aca="false">J5/(1+Supuestos!$B$4)</f>
        <v>151.694915254237</v>
      </c>
      <c r="K14" s="45" t="n">
        <f aca="false">K5/(1+Supuestos!$B$4)</f>
        <v>211.016949152542</v>
      </c>
      <c r="L14" s="45" t="n">
        <f aca="false">L5/(1+Supuestos!$B$4)</f>
        <v>168.64406779661</v>
      </c>
      <c r="M14" s="45" t="n">
        <f aca="false">M5/(1+Supuestos!$B$4)</f>
        <v>83.8983050847458</v>
      </c>
      <c r="N14" s="45" t="n">
        <f aca="false">N5/(1+Supuestos!$B$4)</f>
        <v>41.5254237288136</v>
      </c>
    </row>
    <row r="15" customFormat="false" ht="15" hidden="false" customHeight="false" outlineLevel="0" collapsed="false">
      <c r="A15" s="4" t="s">
        <v>18</v>
      </c>
      <c r="B15" s="6" t="n">
        <f aca="false">-(B6*Supuestos!$B$11+B7*Supuestos!$B$12+B8*Supuestos!$B$13)</f>
        <v>-22.4199114837147</v>
      </c>
      <c r="C15" s="6" t="n">
        <f aca="false">-(C6*Supuestos!$B$11+C7*Supuestos!$B$12+C8*Supuestos!$B$13)</f>
        <v>-24.9364321604581</v>
      </c>
      <c r="D15" s="6" t="n">
        <f aca="false">-(D6*Supuestos!$B$11+D7*Supuestos!$B$12+D8*Supuestos!$B$13)</f>
        <v>-29.9694735139451</v>
      </c>
      <c r="E15" s="6" t="n">
        <f aca="false">-(E6*Supuestos!$B$11+E7*Supuestos!$B$12+E8*Supuestos!$B$13)</f>
        <v>-22.4199114837147</v>
      </c>
      <c r="F15" s="6" t="n">
        <f aca="false">-(F6*Supuestos!$B$11+F7*Supuestos!$B$12+F8*Supuestos!$B$13)</f>
        <v>-24.9364321604581</v>
      </c>
      <c r="G15" s="6" t="n">
        <f aca="false">-(G6*Supuestos!$B$11+G7*Supuestos!$B$12+G8*Supuestos!$B$13)</f>
        <v>-29.9694735139451</v>
      </c>
      <c r="H15" s="6" t="n">
        <f aca="false">-(H6*Supuestos!$B$11+H7*Supuestos!$B$12+H8*Supuestos!$B$13)</f>
        <v>-16.2429970953443</v>
      </c>
      <c r="I15" s="6" t="n">
        <f aca="false">-(I6*Supuestos!$B$11+I7*Supuestos!$B$12+I8*Supuestos!$B$13)</f>
        <v>-32.4859941906886</v>
      </c>
      <c r="J15" s="6" t="n">
        <f aca="false">-(J6*Supuestos!$B$11+J7*Supuestos!$B$12+J8*Supuestos!$B$13)</f>
        <v>-64.9719883813772</v>
      </c>
      <c r="K15" s="6" t="n">
        <f aca="false">-(K6*Supuestos!$B$11+K7*Supuestos!$B$12+K8*Supuestos!$B$13)</f>
        <v>-97.4579825720657</v>
      </c>
      <c r="L15" s="6" t="n">
        <f aca="false">-(L6*Supuestos!$B$11+L7*Supuestos!$B$12+L8*Supuestos!$B$13)</f>
        <v>-2.51652067674348</v>
      </c>
      <c r="M15" s="6" t="n">
        <f aca="false">-(M6*Supuestos!$B$11+M7*Supuestos!$B$12+M8*Supuestos!$B$13)</f>
        <v>-2.51652067674348</v>
      </c>
      <c r="N15" s="6" t="n">
        <f aca="false">-(N6*Supuestos!$B$11+N7*Supuestos!$B$12+N8*Supuestos!$B$13)</f>
        <v>-16.2429970953443</v>
      </c>
    </row>
    <row r="16" customFormat="false" ht="15" hidden="false" customHeight="false" outlineLevel="0" collapsed="false">
      <c r="A16" s="4" t="s">
        <v>278</v>
      </c>
      <c r="B16" s="6" t="n">
        <f aca="false">-(B5*Supuestos!$B$31+Supuestos!$B$32)</f>
        <v>-9.52083</v>
      </c>
      <c r="C16" s="6" t="n">
        <f aca="false">-(C5*Supuestos!$B$31+Supuestos!$B$32)</f>
        <v>-11.02933</v>
      </c>
      <c r="D16" s="6" t="n">
        <f aca="false">-(D5*Supuestos!$B$31+Supuestos!$B$32)</f>
        <v>-12.53783</v>
      </c>
      <c r="E16" s="6" t="n">
        <f aca="false">-(E5*Supuestos!$B$31+Supuestos!$B$32)</f>
        <v>-6.50383</v>
      </c>
      <c r="F16" s="6" t="n">
        <f aca="false">-(F5*Supuestos!$B$31+Supuestos!$B$32)</f>
        <v>-8.01233</v>
      </c>
      <c r="G16" s="6" t="n">
        <f aca="false">-(G5*Supuestos!$B$31+Supuestos!$B$32)</f>
        <v>-10.42593</v>
      </c>
      <c r="H16" s="6" t="n">
        <f aca="false">-(H5*Supuestos!$B$31+Supuestos!$B$32)</f>
        <v>-3.48683</v>
      </c>
      <c r="I16" s="6" t="n">
        <f aca="false">-(I5*Supuestos!$B$31+Supuestos!$B$32)</f>
        <v>-3.48683</v>
      </c>
      <c r="J16" s="6" t="n">
        <f aca="false">-(J5*Supuestos!$B$31+Supuestos!$B$32)</f>
        <v>-5.90043</v>
      </c>
      <c r="K16" s="6" t="n">
        <f aca="false">-(K5*Supuestos!$B$31+Supuestos!$B$32)</f>
        <v>-8.01233</v>
      </c>
      <c r="L16" s="6" t="n">
        <f aca="false">-(L5*Supuestos!$B$31+Supuestos!$B$32)</f>
        <v>-6.50383</v>
      </c>
      <c r="M16" s="6" t="n">
        <f aca="false">-(M5*Supuestos!$B$31+Supuestos!$B$32)</f>
        <v>-3.48683</v>
      </c>
      <c r="N16" s="6" t="n">
        <f aca="false">-(N5*Supuestos!$B$31+Supuestos!$B$32)</f>
        <v>-1.97833</v>
      </c>
    </row>
    <row r="17" customFormat="false" ht="15" hidden="false" customHeight="false" outlineLevel="0" collapsed="false">
      <c r="A17" s="4" t="s">
        <v>279</v>
      </c>
      <c r="B17" s="27" t="n">
        <f aca="false">-Supuestos!$B$16</f>
        <v>-3.5</v>
      </c>
      <c r="C17" s="27" t="n">
        <f aca="false">-Supuestos!$B$16</f>
        <v>-3.5</v>
      </c>
      <c r="D17" s="27" t="n">
        <f aca="false">-Supuestos!$B$16</f>
        <v>-3.5</v>
      </c>
      <c r="E17" s="27" t="n">
        <f aca="false">-Supuestos!$B$16</f>
        <v>-3.5</v>
      </c>
      <c r="F17" s="27" t="n">
        <f aca="false">-Supuestos!$B$16</f>
        <v>-3.5</v>
      </c>
      <c r="G17" s="27" t="n">
        <f aca="false">-Supuestos!$B$16</f>
        <v>-3.5</v>
      </c>
      <c r="H17" s="27" t="n">
        <f aca="false">-Supuestos!$B$16</f>
        <v>-3.5</v>
      </c>
      <c r="I17" s="27" t="n">
        <f aca="false">-Supuestos!$B$16</f>
        <v>-3.5</v>
      </c>
      <c r="J17" s="27" t="n">
        <f aca="false">-Supuestos!$B$16</f>
        <v>-3.5</v>
      </c>
      <c r="K17" s="27" t="n">
        <f aca="false">-Supuestos!$B$16</f>
        <v>-3.5</v>
      </c>
      <c r="L17" s="27" t="n">
        <f aca="false">-Supuestos!$B$16</f>
        <v>-3.5</v>
      </c>
      <c r="M17" s="27" t="n">
        <f aca="false">-Supuestos!$B$16</f>
        <v>-3.5</v>
      </c>
      <c r="N17" s="27" t="n">
        <f aca="false">-Supuestos!$B$16</f>
        <v>-3.5</v>
      </c>
    </row>
    <row r="18" customFormat="false" ht="15" hidden="false" customHeight="false" outlineLevel="0" collapsed="false">
      <c r="A18" s="4" t="s">
        <v>280</v>
      </c>
      <c r="B18" s="27" t="n">
        <f aca="false">-Supuestos!$B$18</f>
        <v>-12.5</v>
      </c>
      <c r="C18" s="27" t="n">
        <f aca="false">-Supuestos!$B$18</f>
        <v>-12.5</v>
      </c>
      <c r="D18" s="27" t="n">
        <f aca="false">-Supuestos!$B$18</f>
        <v>-12.5</v>
      </c>
      <c r="E18" s="27" t="n">
        <f aca="false">-Supuestos!$B$18</f>
        <v>-12.5</v>
      </c>
      <c r="F18" s="27" t="n">
        <f aca="false">-Supuestos!$B$18</f>
        <v>-12.5</v>
      </c>
      <c r="G18" s="27" t="n">
        <f aca="false">-Supuestos!$B$18</f>
        <v>-12.5</v>
      </c>
      <c r="H18" s="27" t="n">
        <f aca="false">-Supuestos!$B$18</f>
        <v>-12.5</v>
      </c>
      <c r="I18" s="27" t="n">
        <f aca="false">-Supuestos!$B$18</f>
        <v>-12.5</v>
      </c>
      <c r="J18" s="27" t="n">
        <f aca="false">-Supuestos!$B$18</f>
        <v>-12.5</v>
      </c>
      <c r="K18" s="27" t="n">
        <f aca="false">-Supuestos!$B$18</f>
        <v>-12.5</v>
      </c>
      <c r="L18" s="27" t="n">
        <f aca="false">-Supuestos!$B$18</f>
        <v>-12.5</v>
      </c>
      <c r="M18" s="27" t="n">
        <f aca="false">-Supuestos!$B$18</f>
        <v>-12.5</v>
      </c>
      <c r="N18" s="27" t="n">
        <f aca="false">-Supuestos!$B$18</f>
        <v>-12.5</v>
      </c>
    </row>
    <row r="19" customFormat="false" ht="15" hidden="false" customHeight="false" outlineLevel="0" collapsed="false">
      <c r="A19" s="8" t="s">
        <v>281</v>
      </c>
      <c r="B19" s="45" t="n">
        <f aca="false">SUM(B14:B18)</f>
        <v>205.44908902476</v>
      </c>
      <c r="C19" s="45" t="n">
        <f aca="false">SUM(C14:C18)</f>
        <v>243.796949703949</v>
      </c>
      <c r="D19" s="45" t="n">
        <f aca="false">SUM(D14:D18)</f>
        <v>279.628289706394</v>
      </c>
      <c r="E19" s="45" t="n">
        <f aca="false">SUM(E14:E18)</f>
        <v>123.720326312896</v>
      </c>
      <c r="F19" s="45" t="n">
        <f aca="false">SUM(F14:F18)</f>
        <v>162.068186992084</v>
      </c>
      <c r="G19" s="45" t="n">
        <f aca="false">SUM(G14:G18)</f>
        <v>222.418155808089</v>
      </c>
      <c r="H19" s="45" t="n">
        <f aca="false">SUM(H14:H18)</f>
        <v>48.1684779894015</v>
      </c>
      <c r="I19" s="45" t="n">
        <f aca="false">SUM(I14:I18)</f>
        <v>31.9254808940572</v>
      </c>
      <c r="J19" s="45" t="n">
        <f aca="false">SUM(J14:J18)</f>
        <v>64.8224968728601</v>
      </c>
      <c r="K19" s="45" t="n">
        <f aca="false">SUM(K14:K18)</f>
        <v>89.5466365804767</v>
      </c>
      <c r="L19" s="45" t="n">
        <f aca="false">SUM(L14:L18)</f>
        <v>143.623717119867</v>
      </c>
      <c r="M19" s="45" t="n">
        <f aca="false">SUM(M14:M18)</f>
        <v>61.8949544080023</v>
      </c>
      <c r="N19" s="45" t="n">
        <f aca="false">SUM(N14:N18)</f>
        <v>7.30409663346928</v>
      </c>
    </row>
    <row r="20" customFormat="false" ht="15" hidden="false" customHeight="false" outlineLevel="0" collapsed="false">
      <c r="A20" s="4" t="s">
        <v>282</v>
      </c>
      <c r="B20" s="6" t="n">
        <f aca="false">-(1-Supuestos!$B$7)*(B14+B15+B16)</f>
        <v>-44.289817804952</v>
      </c>
      <c r="C20" s="6" t="n">
        <f aca="false">-(1-Supuestos!$B$7)*(C14+C15+C16)</f>
        <v>-51.9593899407897</v>
      </c>
      <c r="D20" s="6" t="n">
        <f aca="false">-(1-Supuestos!$B$7)*(D14+D15+D16)</f>
        <v>-59.1256579412788</v>
      </c>
      <c r="E20" s="6" t="n">
        <f aca="false">-(1-Supuestos!$B$7)*(E14+E15+E16)</f>
        <v>-27.9440652625791</v>
      </c>
      <c r="F20" s="6" t="n">
        <f aca="false">-(1-Supuestos!$B$7)*(F14+F15+F16)</f>
        <v>-35.6136373984168</v>
      </c>
      <c r="G20" s="6" t="n">
        <f aca="false">-(1-Supuestos!$B$7)*(G14+G15+G16)</f>
        <v>-47.6836311616178</v>
      </c>
      <c r="H20" s="6" t="n">
        <f aca="false">-(1-Supuestos!$B$7)*(H14+H15+H16)</f>
        <v>-12.8336955978803</v>
      </c>
      <c r="I20" s="6" t="n">
        <f aca="false">-(1-Supuestos!$B$7)*(I14+I15+I16)</f>
        <v>-9.58509617881144</v>
      </c>
      <c r="J20" s="6" t="n">
        <f aca="false">-(1-Supuestos!$B$7)*(J14+J15+J16)</f>
        <v>-16.164499374572</v>
      </c>
      <c r="K20" s="6" t="n">
        <f aca="false">-(1-Supuestos!$B$7)*(K14+K15+K16)</f>
        <v>-21.1093273160953</v>
      </c>
      <c r="L20" s="6" t="n">
        <f aca="false">-(1-Supuestos!$B$7)*(L14+L15+L16)</f>
        <v>-31.9247434239733</v>
      </c>
      <c r="M20" s="6" t="n">
        <f aca="false">-(1-Supuestos!$B$7)*(M14+M15+M16)</f>
        <v>-15.5789908816005</v>
      </c>
      <c r="N20" s="6" t="n">
        <f aca="false">-(1-Supuestos!$B$7)*(N14+N15+N16)</f>
        <v>-4.66081932669385</v>
      </c>
    </row>
    <row r="21" customFormat="false" ht="15" hidden="false" customHeight="false" outlineLevel="0" collapsed="false">
      <c r="A21" s="8" t="s">
        <v>283</v>
      </c>
      <c r="B21" s="45" t="n">
        <f aca="false">B19+B20</f>
        <v>161.159271219808</v>
      </c>
      <c r="C21" s="45" t="n">
        <f aca="false">C19+C20</f>
        <v>191.837559763159</v>
      </c>
      <c r="D21" s="45" t="n">
        <f aca="false">D19+D20</f>
        <v>220.502631765115</v>
      </c>
      <c r="E21" s="45" t="n">
        <f aca="false">E19+E20</f>
        <v>95.7762610503164</v>
      </c>
      <c r="F21" s="45" t="n">
        <f aca="false">F19+F20</f>
        <v>126.454549593667</v>
      </c>
      <c r="G21" s="45" t="n">
        <f aca="false">G19+G20</f>
        <v>174.734524646471</v>
      </c>
      <c r="H21" s="45" t="n">
        <f aca="false">H19+H20</f>
        <v>35.3347823915212</v>
      </c>
      <c r="I21" s="45" t="n">
        <f aca="false">I19+I20</f>
        <v>22.3403847152458</v>
      </c>
      <c r="J21" s="45" t="n">
        <f aca="false">J19+J20</f>
        <v>48.6579974982881</v>
      </c>
      <c r="K21" s="45" t="n">
        <f aca="false">K19+K20</f>
        <v>68.4373092643813</v>
      </c>
      <c r="L21" s="45" t="n">
        <f aca="false">L19+L20</f>
        <v>111.698973695893</v>
      </c>
      <c r="M21" s="45" t="n">
        <f aca="false">M19+M20</f>
        <v>46.3159635264018</v>
      </c>
      <c r="N21" s="45" t="n">
        <f aca="false">N19+N20</f>
        <v>2.64327730677542</v>
      </c>
    </row>
    <row r="22" customFormat="false" ht="15" hidden="false" customHeight="false" outlineLevel="0" collapsed="false">
      <c r="A22" s="4" t="s">
        <v>284</v>
      </c>
      <c r="B22" s="6" t="n">
        <f aca="false">-Supuestos!$B$6*B9</f>
        <v>-65</v>
      </c>
      <c r="C22" s="6" t="n">
        <f aca="false">-Supuestos!$B$6*C9</f>
        <v>-65</v>
      </c>
      <c r="D22" s="6" t="n">
        <f aca="false">-Supuestos!$B$6*D9</f>
        <v>-65</v>
      </c>
      <c r="E22" s="6" t="n">
        <f aca="false">-Supuestos!$B$6*E9</f>
        <v>-65</v>
      </c>
      <c r="F22" s="6" t="n">
        <f aca="false">-Supuestos!$B$6*F9</f>
        <v>-65</v>
      </c>
      <c r="G22" s="6" t="n">
        <f aca="false">-Supuestos!$B$6*G9</f>
        <v>-65</v>
      </c>
      <c r="H22" s="6" t="n">
        <f aca="false">-Supuestos!$B$6*H9</f>
        <v>-65</v>
      </c>
      <c r="I22" s="6" t="n">
        <f aca="false">-Supuestos!$B$6*I9</f>
        <v>-65</v>
      </c>
      <c r="J22" s="6" t="n">
        <f aca="false">-Supuestos!$B$6*J9</f>
        <v>-65</v>
      </c>
      <c r="K22" s="6" t="n">
        <f aca="false">-Supuestos!$B$6*K9</f>
        <v>-65</v>
      </c>
      <c r="L22" s="6" t="n">
        <f aca="false">-Supuestos!$B$6*L9</f>
        <v>-0</v>
      </c>
      <c r="M22" s="6" t="n">
        <f aca="false">-Supuestos!$B$6*M9</f>
        <v>-0</v>
      </c>
      <c r="N22" s="6" t="n">
        <f aca="false">-Supuestos!$B$6*N9</f>
        <v>-0</v>
      </c>
    </row>
    <row r="23" customFormat="false" ht="15" hidden="false" customHeight="false" outlineLevel="0" collapsed="false">
      <c r="A23" s="8" t="s">
        <v>285</v>
      </c>
      <c r="B23" s="46" t="n">
        <f aca="false">B21+B22</f>
        <v>96.159271219808</v>
      </c>
      <c r="C23" s="46" t="n">
        <f aca="false">C21+C22</f>
        <v>126.837559763159</v>
      </c>
      <c r="D23" s="46" t="n">
        <f aca="false">D21+D22</f>
        <v>155.502631765115</v>
      </c>
      <c r="E23" s="46" t="n">
        <f aca="false">E21+E22</f>
        <v>30.7762610503164</v>
      </c>
      <c r="F23" s="46" t="n">
        <f aca="false">F21+F22</f>
        <v>61.4545495936674</v>
      </c>
      <c r="G23" s="46" t="n">
        <f aca="false">G21+G22</f>
        <v>109.734524646471</v>
      </c>
      <c r="H23" s="46" t="n">
        <f aca="false">H21+H22</f>
        <v>-29.6652176084788</v>
      </c>
      <c r="I23" s="46" t="n">
        <f aca="false">I21+I22</f>
        <v>-42.6596152847542</v>
      </c>
      <c r="J23" s="46" t="n">
        <f aca="false">J21+J22</f>
        <v>-16.3420025017119</v>
      </c>
      <c r="K23" s="46" t="n">
        <f aca="false">K21+K22</f>
        <v>3.43730926438133</v>
      </c>
      <c r="L23" s="46" t="n">
        <f aca="false">L21+L22</f>
        <v>111.698973695893</v>
      </c>
      <c r="M23" s="46" t="n">
        <f aca="false">M21+M22</f>
        <v>46.3159635264018</v>
      </c>
      <c r="N23" s="46" t="n">
        <f aca="false">N21+N22</f>
        <v>2.64327730677542</v>
      </c>
    </row>
    <row r="24" customFormat="false" ht="15" hidden="false" customHeight="false" outlineLevel="0" collapsed="false">
      <c r="A24" s="4" t="s">
        <v>286</v>
      </c>
      <c r="B24" s="28" t="n">
        <f aca="false">B23/B5</f>
        <v>0.321602913778622</v>
      </c>
      <c r="C24" s="28" t="n">
        <f aca="false">C23/C5</f>
        <v>0.363431403332834</v>
      </c>
      <c r="D24" s="28" t="n">
        <f aca="false">D23/D5</f>
        <v>0.389730906679487</v>
      </c>
      <c r="E24" s="28" t="n">
        <f aca="false">E23/E5</f>
        <v>0.154654578142294</v>
      </c>
      <c r="F24" s="28" t="n">
        <f aca="false">F23/F5</f>
        <v>0.246805420054889</v>
      </c>
      <c r="G24" s="28" t="n">
        <f aca="false">G23/G5</f>
        <v>0.333539588591098</v>
      </c>
      <c r="H24" s="28" t="n">
        <f aca="false">H23/H5</f>
        <v>-0.299648662711907</v>
      </c>
      <c r="I24" s="28" t="n">
        <f aca="false">I23/I5</f>
        <v>-0.430905204896507</v>
      </c>
      <c r="J24" s="28" t="n">
        <f aca="false">J23/J5</f>
        <v>-0.0912961033615189</v>
      </c>
      <c r="K24" s="28" t="n">
        <f aca="false">K23/K5</f>
        <v>0.0138044548770334</v>
      </c>
      <c r="L24" s="28" t="n">
        <f aca="false">L23/L5</f>
        <v>0.561301375356248</v>
      </c>
      <c r="M24" s="28" t="n">
        <f aca="false">M23/M5</f>
        <v>0.4678380154182</v>
      </c>
      <c r="N24" s="28" t="n">
        <f aca="false">N23/N5</f>
        <v>0.0539444348321514</v>
      </c>
    </row>
    <row r="25" customFormat="false" ht="15" hidden="false" customHeight="false" outlineLevel="0" collapsed="false">
      <c r="A25" s="4" t="s">
        <v>287</v>
      </c>
      <c r="B25" s="27" t="n">
        <f aca="false">-Supuestos!$B$38</f>
        <v>-4</v>
      </c>
      <c r="C25" s="27" t="n">
        <f aca="false">-Supuestos!$B$38</f>
        <v>-4</v>
      </c>
      <c r="D25" s="27" t="n">
        <f aca="false">-Supuestos!$B$38</f>
        <v>-4</v>
      </c>
      <c r="E25" s="27" t="n">
        <f aca="false">-Supuestos!$B$38</f>
        <v>-4</v>
      </c>
      <c r="F25" s="27" t="n">
        <f aca="false">-Supuestos!$B$38</f>
        <v>-4</v>
      </c>
      <c r="G25" s="27" t="n">
        <f aca="false">-Supuestos!$B$38</f>
        <v>-4</v>
      </c>
      <c r="H25" s="27" t="n">
        <f aca="false">-Supuestos!$B$38</f>
        <v>-4</v>
      </c>
      <c r="I25" s="27" t="n">
        <f aca="false">-Supuestos!$B$38</f>
        <v>-4</v>
      </c>
      <c r="J25" s="27" t="n">
        <f aca="false">-Supuestos!$B$38</f>
        <v>-4</v>
      </c>
      <c r="K25" s="27" t="n">
        <f aca="false">-Supuestos!$B$38</f>
        <v>-4</v>
      </c>
      <c r="L25" s="27" t="n">
        <f aca="false">-Supuestos!$B$38</f>
        <v>-4</v>
      </c>
      <c r="M25" s="27" t="n">
        <f aca="false">-Supuestos!$B$38</f>
        <v>-4</v>
      </c>
      <c r="N25" s="27" t="n">
        <f aca="false">-Supuestos!$B$38</f>
        <v>-4</v>
      </c>
    </row>
    <row r="26" customFormat="false" ht="15" hidden="false" customHeight="false" outlineLevel="0" collapsed="false">
      <c r="A26" s="8" t="s">
        <v>288</v>
      </c>
      <c r="B26" s="45" t="n">
        <f aca="false">B23+B25</f>
        <v>92.159271219808</v>
      </c>
      <c r="C26" s="45" t="n">
        <f aca="false">C23+C25</f>
        <v>122.837559763159</v>
      </c>
      <c r="D26" s="45" t="n">
        <f aca="false">D23+D25</f>
        <v>151.502631765115</v>
      </c>
      <c r="E26" s="45" t="n">
        <f aca="false">E23+E25</f>
        <v>26.7762610503164</v>
      </c>
      <c r="F26" s="45" t="n">
        <f aca="false">F23+F25</f>
        <v>57.4545495936674</v>
      </c>
      <c r="G26" s="45" t="n">
        <f aca="false">G23+G25</f>
        <v>105.734524646471</v>
      </c>
      <c r="H26" s="45" t="n">
        <f aca="false">H23+H25</f>
        <v>-33.6652176084788</v>
      </c>
      <c r="I26" s="45" t="n">
        <f aca="false">I23+I25</f>
        <v>-46.6596152847542</v>
      </c>
      <c r="J26" s="45" t="n">
        <f aca="false">J23+J25</f>
        <v>-20.3420025017119</v>
      </c>
      <c r="K26" s="45" t="n">
        <f aca="false">K23+K25</f>
        <v>-0.562690735618673</v>
      </c>
      <c r="L26" s="45" t="n">
        <f aca="false">L23+L25</f>
        <v>107.698973695893</v>
      </c>
      <c r="M26" s="45" t="n">
        <f aca="false">M23+M25</f>
        <v>42.3159635264018</v>
      </c>
      <c r="N26" s="45" t="n">
        <f aca="false">N23+N25</f>
        <v>-1.35672269322458</v>
      </c>
    </row>
    <row r="28" customFormat="false" ht="15" hidden="false" customHeight="false" outlineLevel="0" collapsed="false">
      <c r="A28" s="11" t="s">
        <v>289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customFormat="false" ht="15" hidden="false" customHeight="false" outlineLevel="0" collapsed="false">
      <c r="A29" s="4" t="s">
        <v>277</v>
      </c>
      <c r="B29" s="6" t="n">
        <f aca="false">B14</f>
        <v>253.389830508475</v>
      </c>
      <c r="C29" s="6" t="n">
        <f aca="false">C14</f>
        <v>295.762711864407</v>
      </c>
      <c r="D29" s="6" t="n">
        <f aca="false">D14</f>
        <v>338.135593220339</v>
      </c>
      <c r="E29" s="6" t="n">
        <f aca="false">E14</f>
        <v>168.64406779661</v>
      </c>
      <c r="F29" s="6" t="n">
        <f aca="false">F14</f>
        <v>211.016949152542</v>
      </c>
      <c r="G29" s="6" t="n">
        <f aca="false">G14</f>
        <v>278.813559322034</v>
      </c>
      <c r="H29" s="6" t="n">
        <f aca="false">H14</f>
        <v>83.8983050847458</v>
      </c>
      <c r="I29" s="6" t="n">
        <f aca="false">I14</f>
        <v>83.8983050847458</v>
      </c>
      <c r="J29" s="6" t="n">
        <f aca="false">J14</f>
        <v>151.694915254237</v>
      </c>
      <c r="K29" s="6" t="n">
        <f aca="false">K14</f>
        <v>211.016949152542</v>
      </c>
      <c r="L29" s="6" t="n">
        <f aca="false">L14</f>
        <v>168.64406779661</v>
      </c>
      <c r="M29" s="6" t="n">
        <f aca="false">M14</f>
        <v>83.8983050847458</v>
      </c>
      <c r="N29" s="6" t="n">
        <f aca="false">N14</f>
        <v>41.5254237288136</v>
      </c>
    </row>
    <row r="30" customFormat="false" ht="15" hidden="false" customHeight="false" outlineLevel="0" collapsed="false">
      <c r="A30" s="4" t="s">
        <v>18</v>
      </c>
      <c r="B30" s="6" t="n">
        <f aca="false">B15</f>
        <v>-22.4199114837147</v>
      </c>
      <c r="C30" s="6" t="n">
        <f aca="false">C15</f>
        <v>-24.9364321604581</v>
      </c>
      <c r="D30" s="6" t="n">
        <f aca="false">D15</f>
        <v>-29.9694735139451</v>
      </c>
      <c r="E30" s="6" t="n">
        <f aca="false">E15</f>
        <v>-22.4199114837147</v>
      </c>
      <c r="F30" s="6" t="n">
        <f aca="false">F15</f>
        <v>-24.9364321604581</v>
      </c>
      <c r="G30" s="6" t="n">
        <f aca="false">G15</f>
        <v>-29.9694735139451</v>
      </c>
      <c r="H30" s="6" t="n">
        <f aca="false">H15</f>
        <v>-16.2429970953443</v>
      </c>
      <c r="I30" s="6" t="n">
        <f aca="false">I15</f>
        <v>-32.4859941906886</v>
      </c>
      <c r="J30" s="6" t="n">
        <f aca="false">J15</f>
        <v>-64.9719883813772</v>
      </c>
      <c r="K30" s="6" t="n">
        <f aca="false">K15</f>
        <v>-97.4579825720657</v>
      </c>
      <c r="L30" s="6" t="n">
        <f aca="false">L15</f>
        <v>-2.51652067674348</v>
      </c>
      <c r="M30" s="6" t="n">
        <f aca="false">M15</f>
        <v>-2.51652067674348</v>
      </c>
      <c r="N30" s="6" t="n">
        <f aca="false">N15</f>
        <v>-16.2429970953443</v>
      </c>
    </row>
    <row r="31" customFormat="false" ht="15" hidden="false" customHeight="false" outlineLevel="0" collapsed="false">
      <c r="A31" s="4" t="s">
        <v>278</v>
      </c>
      <c r="B31" s="6" t="n">
        <f aca="false">B16</f>
        <v>-9.52083</v>
      </c>
      <c r="C31" s="6" t="n">
        <f aca="false">C16</f>
        <v>-11.02933</v>
      </c>
      <c r="D31" s="6" t="n">
        <f aca="false">D16</f>
        <v>-12.53783</v>
      </c>
      <c r="E31" s="6" t="n">
        <f aca="false">E16</f>
        <v>-6.50383</v>
      </c>
      <c r="F31" s="6" t="n">
        <f aca="false">F16</f>
        <v>-8.01233</v>
      </c>
      <c r="G31" s="6" t="n">
        <f aca="false">G16</f>
        <v>-10.42593</v>
      </c>
      <c r="H31" s="6" t="n">
        <f aca="false">H16</f>
        <v>-3.48683</v>
      </c>
      <c r="I31" s="6" t="n">
        <f aca="false">I16</f>
        <v>-3.48683</v>
      </c>
      <c r="J31" s="6" t="n">
        <f aca="false">J16</f>
        <v>-5.90043</v>
      </c>
      <c r="K31" s="6" t="n">
        <f aca="false">K16</f>
        <v>-8.01233</v>
      </c>
      <c r="L31" s="6" t="n">
        <f aca="false">L16</f>
        <v>-6.50383</v>
      </c>
      <c r="M31" s="6" t="n">
        <f aca="false">M16</f>
        <v>-3.48683</v>
      </c>
      <c r="N31" s="6" t="n">
        <f aca="false">N16</f>
        <v>-1.97833</v>
      </c>
    </row>
    <row r="32" customFormat="false" ht="15" hidden="false" customHeight="false" outlineLevel="0" collapsed="false">
      <c r="A32" s="4" t="s">
        <v>290</v>
      </c>
      <c r="B32" s="27" t="n">
        <f aca="false">-Supuestos!$B$17</f>
        <v>-5</v>
      </c>
      <c r="C32" s="27" t="n">
        <f aca="false">-Supuestos!$B$17</f>
        <v>-5</v>
      </c>
      <c r="D32" s="27" t="n">
        <f aca="false">-Supuestos!$B$17</f>
        <v>-5</v>
      </c>
      <c r="E32" s="27" t="n">
        <f aca="false">-Supuestos!$B$17</f>
        <v>-5</v>
      </c>
      <c r="F32" s="27" t="n">
        <f aca="false">-Supuestos!$B$17</f>
        <v>-5</v>
      </c>
      <c r="G32" s="27" t="n">
        <f aca="false">-Supuestos!$B$17</f>
        <v>-5</v>
      </c>
      <c r="H32" s="27" t="n">
        <f aca="false">-Supuestos!$B$17</f>
        <v>-5</v>
      </c>
      <c r="I32" s="27" t="n">
        <f aca="false">-Supuestos!$B$17</f>
        <v>-5</v>
      </c>
      <c r="J32" s="27" t="n">
        <f aca="false">-Supuestos!$B$17</f>
        <v>-5</v>
      </c>
      <c r="K32" s="27" t="n">
        <f aca="false">-Supuestos!$B$17</f>
        <v>-5</v>
      </c>
      <c r="L32" s="27" t="n">
        <f aca="false">-Supuestos!$B$17</f>
        <v>-5</v>
      </c>
      <c r="M32" s="27" t="n">
        <f aca="false">-Supuestos!$B$17</f>
        <v>-5</v>
      </c>
      <c r="N32" s="27" t="n">
        <f aca="false">-Supuestos!$B$17</f>
        <v>-5</v>
      </c>
    </row>
    <row r="33" customFormat="false" ht="15" hidden="false" customHeight="false" outlineLevel="0" collapsed="false">
      <c r="A33" s="4" t="s">
        <v>291</v>
      </c>
      <c r="B33" s="6" t="n">
        <f aca="false">-(1-Supuestos!$B$20)*Supuestos!$B$19</f>
        <v>-0</v>
      </c>
      <c r="C33" s="6" t="n">
        <f aca="false">-(1-Supuestos!$B$20)*Supuestos!$B$19</f>
        <v>-0</v>
      </c>
      <c r="D33" s="6" t="n">
        <f aca="false">-(1-Supuestos!$B$20)*Supuestos!$B$19</f>
        <v>-0</v>
      </c>
      <c r="E33" s="6" t="n">
        <f aca="false">-(1-Supuestos!$B$20)*Supuestos!$B$19</f>
        <v>-0</v>
      </c>
      <c r="F33" s="6" t="n">
        <f aca="false">-(1-Supuestos!$B$20)*Supuestos!$B$19</f>
        <v>-0</v>
      </c>
      <c r="G33" s="6" t="n">
        <f aca="false">-(1-Supuestos!$B$20)*Supuestos!$B$19</f>
        <v>-0</v>
      </c>
      <c r="H33" s="6" t="n">
        <f aca="false">-(1-Supuestos!$B$20)*Supuestos!$B$19</f>
        <v>-0</v>
      </c>
      <c r="I33" s="6" t="n">
        <f aca="false">-(1-Supuestos!$B$20)*Supuestos!$B$19</f>
        <v>-0</v>
      </c>
      <c r="J33" s="6" t="n">
        <f aca="false">-(1-Supuestos!$B$20)*Supuestos!$B$19</f>
        <v>-0</v>
      </c>
      <c r="K33" s="6" t="n">
        <f aca="false">-(1-Supuestos!$B$20)*Supuestos!$B$19</f>
        <v>-0</v>
      </c>
      <c r="L33" s="6" t="n">
        <f aca="false">-(1-Supuestos!$B$20)*Supuestos!$B$19</f>
        <v>-0</v>
      </c>
      <c r="M33" s="6" t="n">
        <f aca="false">-(1-Supuestos!$B$20)*Supuestos!$B$19</f>
        <v>-0</v>
      </c>
      <c r="N33" s="6" t="n">
        <f aca="false">-(1-Supuestos!$B$20)*Supuestos!$B$19</f>
        <v>-0</v>
      </c>
    </row>
    <row r="34" customFormat="false" ht="15" hidden="false" customHeight="false" outlineLevel="0" collapsed="false">
      <c r="A34" s="8" t="s">
        <v>281</v>
      </c>
      <c r="B34" s="45" t="n">
        <f aca="false">SUM(B29:B33)</f>
        <v>216.44908902476</v>
      </c>
      <c r="C34" s="45" t="n">
        <f aca="false">SUM(C29:C33)</f>
        <v>254.796949703949</v>
      </c>
      <c r="D34" s="45" t="n">
        <f aca="false">SUM(D29:D33)</f>
        <v>290.628289706394</v>
      </c>
      <c r="E34" s="45" t="n">
        <f aca="false">SUM(E29:E33)</f>
        <v>134.720326312896</v>
      </c>
      <c r="F34" s="45" t="n">
        <f aca="false">SUM(F29:F33)</f>
        <v>173.068186992084</v>
      </c>
      <c r="G34" s="45" t="n">
        <f aca="false">SUM(G29:G33)</f>
        <v>233.418155808089</v>
      </c>
      <c r="H34" s="45" t="n">
        <f aca="false">SUM(H29:H33)</f>
        <v>59.1684779894015</v>
      </c>
      <c r="I34" s="45" t="n">
        <f aca="false">SUM(I29:I33)</f>
        <v>42.9254808940572</v>
      </c>
      <c r="J34" s="45" t="n">
        <f aca="false">SUM(J29:J33)</f>
        <v>75.8224968728601</v>
      </c>
      <c r="K34" s="45" t="n">
        <f aca="false">SUM(K29:K33)</f>
        <v>100.546636580477</v>
      </c>
      <c r="L34" s="45" t="n">
        <f aca="false">SUM(L29:L33)</f>
        <v>154.623717119867</v>
      </c>
      <c r="M34" s="45" t="n">
        <f aca="false">SUM(M29:M33)</f>
        <v>72.8949544080023</v>
      </c>
      <c r="N34" s="45" t="n">
        <f aca="false">SUM(N29:N33)</f>
        <v>18.3040966334693</v>
      </c>
    </row>
    <row r="35" customFormat="false" ht="15" hidden="false" customHeight="false" outlineLevel="0" collapsed="false">
      <c r="A35" s="4" t="s">
        <v>282</v>
      </c>
      <c r="B35" s="6" t="n">
        <f aca="false">-(1-Supuestos!$B$8)*(B29+B30+B31)</f>
        <v>-0</v>
      </c>
      <c r="C35" s="6" t="n">
        <f aca="false">-(1-Supuestos!$B$8)*(C29+C30+C31)</f>
        <v>-0</v>
      </c>
      <c r="D35" s="6" t="n">
        <f aca="false">-(1-Supuestos!$B$8)*(D29+D30+D31)</f>
        <v>-0</v>
      </c>
      <c r="E35" s="6" t="n">
        <f aca="false">-(1-Supuestos!$B$8)*(E29+E30+E31)</f>
        <v>-0</v>
      </c>
      <c r="F35" s="6" t="n">
        <f aca="false">-(1-Supuestos!$B$8)*(F29+F30+F31)</f>
        <v>-0</v>
      </c>
      <c r="G35" s="6" t="n">
        <f aca="false">-(1-Supuestos!$B$8)*(G29+G30+G31)</f>
        <v>-0</v>
      </c>
      <c r="H35" s="6" t="n">
        <f aca="false">-(1-Supuestos!$B$8)*(H29+H30+H31)</f>
        <v>-0</v>
      </c>
      <c r="I35" s="6" t="n">
        <f aca="false">-(1-Supuestos!$B$8)*(I29+I30+I31)</f>
        <v>-0</v>
      </c>
      <c r="J35" s="6" t="n">
        <f aca="false">-(1-Supuestos!$B$8)*(J29+J30+J31)</f>
        <v>-0</v>
      </c>
      <c r="K35" s="6" t="n">
        <f aca="false">-(1-Supuestos!$B$8)*(K29+K30+K31)</f>
        <v>-0</v>
      </c>
      <c r="L35" s="6" t="n">
        <f aca="false">-(1-Supuestos!$B$8)*(L29+L30+L31)</f>
        <v>-0</v>
      </c>
      <c r="M35" s="6" t="n">
        <f aca="false">-(1-Supuestos!$B$8)*(M29+M30+M31)</f>
        <v>-0</v>
      </c>
      <c r="N35" s="6" t="n">
        <f aca="false">-(1-Supuestos!$B$8)*(N29+N30+N31)</f>
        <v>-0</v>
      </c>
    </row>
    <row r="36" customFormat="false" ht="15" hidden="false" customHeight="false" outlineLevel="0" collapsed="false">
      <c r="A36" s="8" t="s">
        <v>283</v>
      </c>
      <c r="B36" s="45" t="n">
        <f aca="false">B34+B35</f>
        <v>216.44908902476</v>
      </c>
      <c r="C36" s="45" t="n">
        <f aca="false">C34+C35</f>
        <v>254.796949703949</v>
      </c>
      <c r="D36" s="45" t="n">
        <f aca="false">D34+D35</f>
        <v>290.628289706394</v>
      </c>
      <c r="E36" s="45" t="n">
        <f aca="false">E34+E35</f>
        <v>134.720326312896</v>
      </c>
      <c r="F36" s="45" t="n">
        <f aca="false">F34+F35</f>
        <v>173.068186992084</v>
      </c>
      <c r="G36" s="45" t="n">
        <f aca="false">G34+G35</f>
        <v>233.418155808089</v>
      </c>
      <c r="H36" s="45" t="n">
        <f aca="false">H34+H35</f>
        <v>59.1684779894015</v>
      </c>
      <c r="I36" s="45" t="n">
        <f aca="false">I34+I35</f>
        <v>42.9254808940572</v>
      </c>
      <c r="J36" s="45" t="n">
        <f aca="false">J34+J35</f>
        <v>75.8224968728601</v>
      </c>
      <c r="K36" s="45" t="n">
        <f aca="false">K34+K35</f>
        <v>100.546636580477</v>
      </c>
      <c r="L36" s="45" t="n">
        <f aca="false">L34+L35</f>
        <v>154.623717119867</v>
      </c>
      <c r="M36" s="45" t="n">
        <f aca="false">M34+M35</f>
        <v>72.8949544080023</v>
      </c>
      <c r="N36" s="45" t="n">
        <f aca="false">N34+N35</f>
        <v>18.3040966334693</v>
      </c>
    </row>
    <row r="37" customFormat="false" ht="15" hidden="false" customHeight="false" outlineLevel="0" collapsed="false">
      <c r="A37" s="4" t="s">
        <v>284</v>
      </c>
      <c r="B37" s="6" t="n">
        <f aca="false">B22</f>
        <v>-65</v>
      </c>
      <c r="C37" s="6" t="n">
        <f aca="false">C22</f>
        <v>-65</v>
      </c>
      <c r="D37" s="6" t="n">
        <f aca="false">D22</f>
        <v>-65</v>
      </c>
      <c r="E37" s="6" t="n">
        <f aca="false">E22</f>
        <v>-65</v>
      </c>
      <c r="F37" s="6" t="n">
        <f aca="false">F22</f>
        <v>-65</v>
      </c>
      <c r="G37" s="6" t="n">
        <f aca="false">G22</f>
        <v>-65</v>
      </c>
      <c r="H37" s="6" t="n">
        <f aca="false">H22</f>
        <v>-65</v>
      </c>
      <c r="I37" s="6" t="n">
        <f aca="false">I22</f>
        <v>-65</v>
      </c>
      <c r="J37" s="6" t="n">
        <f aca="false">J22</f>
        <v>-65</v>
      </c>
      <c r="K37" s="6" t="n">
        <f aca="false">K22</f>
        <v>-65</v>
      </c>
      <c r="L37" s="6" t="n">
        <f aca="false">L22</f>
        <v>-0</v>
      </c>
      <c r="M37" s="6" t="n">
        <f aca="false">M22</f>
        <v>-0</v>
      </c>
      <c r="N37" s="6" t="n">
        <f aca="false">N22</f>
        <v>-0</v>
      </c>
    </row>
    <row r="38" customFormat="false" ht="15" hidden="false" customHeight="false" outlineLevel="0" collapsed="false">
      <c r="A38" s="8" t="s">
        <v>285</v>
      </c>
      <c r="B38" s="46" t="n">
        <f aca="false">B36+B37</f>
        <v>151.44908902476</v>
      </c>
      <c r="C38" s="46" t="n">
        <f aca="false">C36+C37</f>
        <v>189.796949703949</v>
      </c>
      <c r="D38" s="46" t="n">
        <f aca="false">D36+D37</f>
        <v>225.628289706394</v>
      </c>
      <c r="E38" s="46" t="n">
        <f aca="false">E36+E37</f>
        <v>69.7203263128955</v>
      </c>
      <c r="F38" s="46" t="n">
        <f aca="false">F36+F37</f>
        <v>108.068186992084</v>
      </c>
      <c r="G38" s="46" t="n">
        <f aca="false">G36+G37</f>
        <v>168.418155808089</v>
      </c>
      <c r="H38" s="46" t="n">
        <f aca="false">H36+H37</f>
        <v>-5.83152201059852</v>
      </c>
      <c r="I38" s="46" t="n">
        <f aca="false">I36+I37</f>
        <v>-22.0745191059428</v>
      </c>
      <c r="J38" s="46" t="n">
        <f aca="false">J36+J37</f>
        <v>10.8224968728601</v>
      </c>
      <c r="K38" s="46" t="n">
        <f aca="false">K36+K37</f>
        <v>35.5466365804767</v>
      </c>
      <c r="L38" s="46" t="n">
        <f aca="false">L36+L37</f>
        <v>154.623717119867</v>
      </c>
      <c r="M38" s="46" t="n">
        <f aca="false">M36+M37</f>
        <v>72.8949544080023</v>
      </c>
      <c r="N38" s="46" t="n">
        <f aca="false">N36+N37</f>
        <v>18.3040966334693</v>
      </c>
    </row>
    <row r="39" customFormat="false" ht="15" hidden="false" customHeight="false" outlineLevel="0" collapsed="false">
      <c r="A39" s="4" t="s">
        <v>286</v>
      </c>
      <c r="B39" s="28" t="n">
        <f aca="false">B38/B5</f>
        <v>0.506518692390502</v>
      </c>
      <c r="C39" s="28" t="n">
        <f aca="false">C38/C5</f>
        <v>0.543830801443979</v>
      </c>
      <c r="D39" s="28" t="n">
        <f aca="false">D38/D5</f>
        <v>0.565484435354371</v>
      </c>
      <c r="E39" s="28" t="n">
        <f aca="false">E38/E5</f>
        <v>0.350353398557264</v>
      </c>
      <c r="F39" s="28" t="n">
        <f aca="false">F38/F5</f>
        <v>0.43400878310074</v>
      </c>
      <c r="G39" s="28" t="n">
        <f aca="false">G38/G5</f>
        <v>0.511909288170483</v>
      </c>
      <c r="H39" s="28" t="n">
        <f aca="false">H38/H5</f>
        <v>-0.0589042627333184</v>
      </c>
      <c r="I39" s="28" t="n">
        <f aca="false">I38/I5</f>
        <v>-0.222974940464069</v>
      </c>
      <c r="J39" s="28" t="n">
        <f aca="false">J38/J5</f>
        <v>0.0604608763846935</v>
      </c>
      <c r="K39" s="28" t="n">
        <f aca="false">K38/K5</f>
        <v>0.14275757662842</v>
      </c>
      <c r="L39" s="28" t="n">
        <f aca="false">L38/L5</f>
        <v>0.777003603617421</v>
      </c>
      <c r="M39" s="28" t="n">
        <f aca="false">M38/M5</f>
        <v>0.736312670787902</v>
      </c>
      <c r="N39" s="28" t="n">
        <f aca="false">N38/N5</f>
        <v>0.373552992519781</v>
      </c>
    </row>
    <row r="41" customFormat="false" ht="15" hidden="false" customHeight="false" outlineLevel="0" collapsed="false">
      <c r="A41" s="2" t="s">
        <v>292</v>
      </c>
    </row>
    <row r="42" customFormat="false" ht="15" hidden="false" customHeight="false" outlineLevel="0" collapsed="false">
      <c r="A42" s="2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9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30" hidden="false" customHeight="true" outlineLevel="0" collapsed="false">
      <c r="A4" s="13" t="s">
        <v>18</v>
      </c>
      <c r="B4" s="13" t="s">
        <v>296</v>
      </c>
      <c r="C4" s="13" t="s">
        <v>297</v>
      </c>
      <c r="D4" s="13" t="s">
        <v>298</v>
      </c>
      <c r="E4" s="13" t="s">
        <v>299</v>
      </c>
      <c r="F4" s="13" t="s">
        <v>300</v>
      </c>
      <c r="G4" s="13" t="s">
        <v>301</v>
      </c>
    </row>
    <row r="5" customFormat="false" ht="15" hidden="false" customHeight="false" outlineLevel="0" collapsed="false">
      <c r="A5" s="4" t="s">
        <v>302</v>
      </c>
      <c r="B5" s="15" t="n">
        <v>804</v>
      </c>
      <c r="C5" s="38" t="n">
        <v>9.5</v>
      </c>
      <c r="D5" s="42" t="n">
        <f aca="false">B5*C5</f>
        <v>7638</v>
      </c>
      <c r="E5" s="37" t="n">
        <v>19.4313735</v>
      </c>
      <c r="F5" s="28" t="n">
        <f aca="false">E5/$E$9</f>
        <v>0.358710974709249</v>
      </c>
      <c r="G5" s="28" t="n">
        <f aca="false">D5/$D$9</f>
        <v>0.241083264945395</v>
      </c>
    </row>
    <row r="6" customFormat="false" ht="15" hidden="false" customHeight="false" outlineLevel="0" collapsed="false">
      <c r="A6" s="4" t="s">
        <v>303</v>
      </c>
      <c r="B6" s="15" t="n">
        <v>804</v>
      </c>
      <c r="C6" s="38" t="n">
        <v>7</v>
      </c>
      <c r="D6" s="42" t="n">
        <f aca="false">B6*C6</f>
        <v>5628</v>
      </c>
      <c r="E6" s="37" t="n">
        <v>20.848256</v>
      </c>
      <c r="F6" s="28" t="n">
        <f aca="false">E6/$E$9</f>
        <v>0.38486719586487</v>
      </c>
      <c r="G6" s="28" t="n">
        <f aca="false">D6/$D$9</f>
        <v>0.17764030048608</v>
      </c>
    </row>
    <row r="7" customFormat="false" ht="15" hidden="false" customHeight="false" outlineLevel="0" collapsed="false">
      <c r="A7" s="4" t="s">
        <v>304</v>
      </c>
      <c r="B7" s="15" t="n">
        <v>840</v>
      </c>
      <c r="C7" s="38" t="n">
        <v>2.1</v>
      </c>
      <c r="D7" s="42" t="n">
        <f aca="false">B7*C7</f>
        <v>1764</v>
      </c>
      <c r="E7" s="37" t="n">
        <v>5.05</v>
      </c>
      <c r="F7" s="28" t="n">
        <f aca="false">E7/$E$9</f>
        <v>0.0932250323057043</v>
      </c>
      <c r="G7" s="28" t="n">
        <f aca="false">D7/$D$9</f>
        <v>0.0556783031374282</v>
      </c>
    </row>
    <row r="8" customFormat="false" ht="15" hidden="false" customHeight="false" outlineLevel="0" collapsed="false">
      <c r="A8" s="4" t="s">
        <v>305</v>
      </c>
      <c r="B8" s="15" t="n">
        <v>100</v>
      </c>
      <c r="C8" s="42" t="n">
        <f aca="false">D8/B8</f>
        <v>166.52</v>
      </c>
      <c r="D8" s="42" t="n">
        <f aca="false">D17</f>
        <v>16652</v>
      </c>
      <c r="E8" s="47" t="n">
        <f aca="false">B20-SUM(E5:E7)</f>
        <v>8.84037050000001</v>
      </c>
      <c r="F8" s="28" t="n">
        <f aca="false">E8/$E$9</f>
        <v>0.163196797120177</v>
      </c>
      <c r="G8" s="28" t="n">
        <f aca="false">D8/$D$9</f>
        <v>0.525598131431097</v>
      </c>
    </row>
    <row r="9" customFormat="false" ht="15" hidden="false" customHeight="false" outlineLevel="0" collapsed="false">
      <c r="A9" s="8" t="s">
        <v>108</v>
      </c>
      <c r="D9" s="48" t="n">
        <f aca="false">SUM(D5:D8)</f>
        <v>31682</v>
      </c>
      <c r="E9" s="49" t="n">
        <f aca="false">SUM(E5:E8)</f>
        <v>54.17</v>
      </c>
    </row>
    <row r="10" customFormat="false" ht="15" hidden="false" customHeight="false" outlineLevel="0" collapsed="false">
      <c r="A10" s="2" t="s">
        <v>306</v>
      </c>
    </row>
    <row r="11" customFormat="false" ht="15" hidden="false" customHeight="false" outlineLevel="0" collapsed="false">
      <c r="A11" s="11" t="s">
        <v>307</v>
      </c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3" t="s">
        <v>308</v>
      </c>
      <c r="B12" s="13" t="s">
        <v>309</v>
      </c>
      <c r="C12" s="13" t="s">
        <v>310</v>
      </c>
      <c r="D12" s="13" t="s">
        <v>311</v>
      </c>
    </row>
    <row r="13" customFormat="false" ht="15" hidden="false" customHeight="false" outlineLevel="0" collapsed="false">
      <c r="A13" s="4" t="s">
        <v>312</v>
      </c>
      <c r="B13" s="15" t="n">
        <v>100</v>
      </c>
      <c r="C13" s="38" t="n">
        <v>162</v>
      </c>
      <c r="D13" s="42" t="n">
        <f aca="false">B13*C13</f>
        <v>16200</v>
      </c>
    </row>
    <row r="14" customFormat="false" ht="15" hidden="false" customHeight="false" outlineLevel="0" collapsed="false">
      <c r="A14" s="4" t="s">
        <v>313</v>
      </c>
      <c r="B14" s="15" t="n">
        <v>10</v>
      </c>
      <c r="C14" s="38" t="n">
        <v>20</v>
      </c>
      <c r="D14" s="42" t="n">
        <f aca="false">B14*C14</f>
        <v>200</v>
      </c>
    </row>
    <row r="15" customFormat="false" ht="15" hidden="false" customHeight="false" outlineLevel="0" collapsed="false">
      <c r="A15" s="4" t="s">
        <v>314</v>
      </c>
      <c r="B15" s="15" t="n">
        <v>10</v>
      </c>
      <c r="C15" s="38" t="n">
        <v>10</v>
      </c>
      <c r="D15" s="42" t="n">
        <f aca="false">B15*C15</f>
        <v>100</v>
      </c>
    </row>
    <row r="16" customFormat="false" ht="15" hidden="false" customHeight="false" outlineLevel="0" collapsed="false">
      <c r="A16" s="4" t="s">
        <v>315</v>
      </c>
      <c r="B16" s="15" t="n">
        <v>1</v>
      </c>
      <c r="C16" s="38" t="n">
        <v>152</v>
      </c>
      <c r="D16" s="42" t="n">
        <f aca="false">B16*C16</f>
        <v>152</v>
      </c>
    </row>
    <row r="17" customFormat="false" ht="15" hidden="false" customHeight="false" outlineLevel="0" collapsed="false">
      <c r="A17" s="8" t="s">
        <v>316</v>
      </c>
      <c r="D17" s="48" t="n">
        <f aca="false">SUM(D13:D16)</f>
        <v>16652</v>
      </c>
    </row>
    <row r="19" customFormat="false" ht="15" hidden="false" customHeight="false" outlineLevel="0" collapsed="false">
      <c r="A19" s="11" t="s">
        <v>317</v>
      </c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4" t="s">
        <v>318</v>
      </c>
      <c r="B20" s="50" t="n">
        <v>54.17</v>
      </c>
    </row>
    <row r="21" customFormat="false" ht="15" hidden="false" customHeight="false" outlineLevel="0" collapsed="false">
      <c r="A21" s="4" t="s">
        <v>319</v>
      </c>
      <c r="B21" s="38" t="n">
        <v>6580</v>
      </c>
    </row>
    <row r="22" customFormat="false" ht="15" hidden="false" customHeight="false" outlineLevel="0" collapsed="false">
      <c r="A22" s="4" t="s">
        <v>320</v>
      </c>
      <c r="B22" s="38" t="n">
        <v>720</v>
      </c>
    </row>
    <row r="23" customFormat="false" ht="15" hidden="false" customHeight="false" outlineLevel="0" collapsed="false">
      <c r="A23" s="4" t="s">
        <v>321</v>
      </c>
      <c r="B23" s="38" t="n">
        <v>6</v>
      </c>
    </row>
    <row r="24" customFormat="false" ht="15" hidden="false" customHeight="false" outlineLevel="0" collapsed="false">
      <c r="A24" s="4" t="s">
        <v>322</v>
      </c>
      <c r="B24" s="38" t="n">
        <v>80</v>
      </c>
    </row>
    <row r="25" customFormat="false" ht="15" hidden="false" customHeight="false" outlineLevel="0" collapsed="false">
      <c r="A25" s="8" t="s">
        <v>323</v>
      </c>
      <c r="B25" s="48" t="n">
        <f aca="false">SUM(B21:B24)</f>
        <v>7386</v>
      </c>
    </row>
    <row r="26" customFormat="false" ht="15" hidden="false" customHeight="false" outlineLevel="0" collapsed="false">
      <c r="A26" s="4" t="s">
        <v>324</v>
      </c>
      <c r="B26" s="38" t="n">
        <v>160</v>
      </c>
    </row>
    <row r="27" customFormat="false" ht="15" hidden="false" customHeight="false" outlineLevel="0" collapsed="false">
      <c r="A27" s="4" t="s">
        <v>325</v>
      </c>
      <c r="B27" s="38" t="n">
        <v>40</v>
      </c>
    </row>
    <row r="28" customFormat="false" ht="15" hidden="false" customHeight="false" outlineLevel="0" collapsed="false">
      <c r="A28" s="4" t="s">
        <v>326</v>
      </c>
      <c r="B28" s="23" t="n">
        <v>606.21</v>
      </c>
      <c r="C28" s="2" t="s">
        <v>327</v>
      </c>
    </row>
    <row r="29" customFormat="false" ht="15" hidden="false" customHeight="false" outlineLevel="0" collapsed="false">
      <c r="A29" s="4" t="s">
        <v>328</v>
      </c>
      <c r="B29" s="51" t="n">
        <v>0.01</v>
      </c>
      <c r="C29" s="2" t="s">
        <v>329</v>
      </c>
    </row>
    <row r="31" customFormat="false" ht="15" hidden="false" customHeight="false" outlineLevel="0" collapsed="false">
      <c r="A31" s="11" t="s">
        <v>330</v>
      </c>
      <c r="B31" s="12"/>
      <c r="C31" s="12"/>
      <c r="D31" s="12"/>
      <c r="E31" s="12"/>
      <c r="F31" s="12"/>
      <c r="G31" s="12"/>
    </row>
    <row r="32" customFormat="false" ht="15" hidden="false" customHeight="false" outlineLevel="0" collapsed="false">
      <c r="A32" s="4" t="s">
        <v>331</v>
      </c>
      <c r="B32" s="38" t="n">
        <v>8189.581</v>
      </c>
    </row>
    <row r="33" customFormat="false" ht="15" hidden="false" customHeight="false" outlineLevel="0" collapsed="false">
      <c r="A33" s="4" t="s">
        <v>332</v>
      </c>
      <c r="B33" s="37" t="n">
        <v>3.444</v>
      </c>
    </row>
    <row r="34" customFormat="false" ht="15" hidden="false" customHeight="false" outlineLevel="0" collapsed="false">
      <c r="A34" s="4" t="s">
        <v>333</v>
      </c>
      <c r="B34" s="38" t="n">
        <v>4370</v>
      </c>
    </row>
    <row r="35" customFormat="false" ht="15" hidden="false" customHeight="false" outlineLevel="0" collapsed="false">
      <c r="A35" s="4" t="s">
        <v>334</v>
      </c>
      <c r="B35" s="38" t="n">
        <v>706</v>
      </c>
    </row>
    <row r="36" customFormat="false" ht="15" hidden="false" customHeight="false" outlineLevel="0" collapsed="false">
      <c r="A36" s="4" t="s">
        <v>335</v>
      </c>
      <c r="B36" s="38" t="n">
        <v>885</v>
      </c>
    </row>
    <row r="37" customFormat="false" ht="15" hidden="false" customHeight="false" outlineLevel="0" collapsed="false">
      <c r="A37" s="4" t="s">
        <v>336</v>
      </c>
      <c r="B37" s="41" t="n">
        <f aca="false">(B34+B35)/(B32*B33)</f>
        <v>0.179968620594731</v>
      </c>
    </row>
    <row r="38" customFormat="false" ht="15" hidden="false" customHeight="false" outlineLevel="0" collapsed="false">
      <c r="A38" s="4" t="s">
        <v>337</v>
      </c>
      <c r="B38" s="41" t="n">
        <f aca="false">B36/(B32*B33)</f>
        <v>0.0313775077278047</v>
      </c>
    </row>
    <row r="39" customFormat="false" ht="15" hidden="false" customHeight="false" outlineLevel="0" collapsed="false">
      <c r="A39" s="4" t="s">
        <v>338</v>
      </c>
      <c r="B39" s="51" t="n">
        <v>0</v>
      </c>
      <c r="C39" s="2" t="s">
        <v>339</v>
      </c>
    </row>
    <row r="41" customFormat="false" ht="15" hidden="false" customHeight="false" outlineLevel="0" collapsed="false">
      <c r="A41" s="11" t="s">
        <v>340</v>
      </c>
      <c r="B41" s="12"/>
      <c r="C41" s="12"/>
      <c r="D41" s="12"/>
      <c r="E41" s="12"/>
      <c r="F41" s="12"/>
      <c r="G41" s="12"/>
    </row>
    <row r="42" customFormat="false" ht="15" hidden="false" customHeight="false" outlineLevel="0" collapsed="false">
      <c r="A42" s="4" t="s">
        <v>341</v>
      </c>
      <c r="B42" s="23" t="n">
        <v>1500</v>
      </c>
      <c r="C42" s="2" t="s">
        <v>342</v>
      </c>
    </row>
    <row r="43" customFormat="false" ht="15" hidden="false" customHeight="false" outlineLevel="0" collapsed="false">
      <c r="A43" s="4" t="s">
        <v>343</v>
      </c>
      <c r="B43" s="23" t="n">
        <v>100</v>
      </c>
      <c r="C43" s="2" t="s">
        <v>344</v>
      </c>
    </row>
    <row r="44" customFormat="false" ht="15" hidden="false" customHeight="false" outlineLevel="0" collapsed="false">
      <c r="A44" s="4" t="s">
        <v>345</v>
      </c>
      <c r="B44" s="23" t="n">
        <v>100</v>
      </c>
      <c r="C44" s="2" t="s">
        <v>344</v>
      </c>
    </row>
    <row r="45" customFormat="false" ht="15" hidden="false" customHeight="false" outlineLevel="0" collapsed="false">
      <c r="A45" s="4" t="s">
        <v>346</v>
      </c>
      <c r="B45" s="23" t="n">
        <v>2000</v>
      </c>
      <c r="C45" s="2" t="s">
        <v>347</v>
      </c>
    </row>
    <row r="46" customFormat="false" ht="15" hidden="false" customHeight="false" outlineLevel="0" collapsed="false">
      <c r="A46" s="4" t="s">
        <v>348</v>
      </c>
      <c r="B46" s="17" t="n">
        <f aca="false">SUM(B42:B45)*Supuestos!B4</f>
        <v>666</v>
      </c>
    </row>
    <row r="48" customFormat="false" ht="15" hidden="false" customHeight="false" outlineLevel="0" collapsed="false">
      <c r="A48" s="11" t="s">
        <v>349</v>
      </c>
      <c r="B48" s="12"/>
      <c r="C48" s="12"/>
      <c r="D48" s="12"/>
      <c r="E48" s="12"/>
      <c r="F48" s="12"/>
      <c r="G48" s="12"/>
    </row>
    <row r="49" customFormat="false" ht="15" hidden="false" customHeight="false" outlineLevel="0" collapsed="false">
      <c r="A49" s="4" t="s">
        <v>210</v>
      </c>
      <c r="B49" s="25" t="n">
        <f aca="false">Supuestos!B5</f>
        <v>3.5</v>
      </c>
    </row>
    <row r="50" customFormat="false" ht="15" hidden="false" customHeight="false" outlineLevel="0" collapsed="false">
      <c r="A50" s="4" t="s">
        <v>298</v>
      </c>
      <c r="B50" s="42" t="n">
        <f aca="false">D9</f>
        <v>31682</v>
      </c>
    </row>
    <row r="51" customFormat="false" ht="15" hidden="false" customHeight="false" outlineLevel="0" collapsed="false">
      <c r="A51" s="4" t="s">
        <v>350</v>
      </c>
      <c r="B51" s="42" t="n">
        <f aca="false">D9*B29</f>
        <v>316.82</v>
      </c>
    </row>
    <row r="52" customFormat="false" ht="15" hidden="false" customHeight="false" outlineLevel="0" collapsed="false">
      <c r="A52" s="4" t="s">
        <v>351</v>
      </c>
      <c r="B52" s="42" t="n">
        <f aca="false">B50+B25+B51</f>
        <v>39384.82</v>
      </c>
    </row>
    <row r="53" customFormat="false" ht="15" hidden="false" customHeight="false" outlineLevel="0" collapsed="false">
      <c r="A53" s="4" t="s">
        <v>352</v>
      </c>
      <c r="B53" s="6" t="n">
        <f aca="false">B52*B49</f>
        <v>137846.87</v>
      </c>
    </row>
    <row r="54" customFormat="false" ht="15" hidden="false" customHeight="false" outlineLevel="0" collapsed="false">
      <c r="A54" s="4" t="s">
        <v>353</v>
      </c>
      <c r="B54" s="6" t="n">
        <f aca="false">B53*B39</f>
        <v>0</v>
      </c>
    </row>
    <row r="55" customFormat="false" ht="15" hidden="false" customHeight="false" outlineLevel="0" collapsed="false">
      <c r="A55" s="4" t="s">
        <v>354</v>
      </c>
      <c r="B55" s="6" t="n">
        <f aca="false">(B53+B54)*B37</f>
        <v>24808.1110472012</v>
      </c>
    </row>
    <row r="56" customFormat="false" ht="15" hidden="false" customHeight="false" outlineLevel="0" collapsed="false">
      <c r="A56" s="4" t="s">
        <v>355</v>
      </c>
      <c r="B56" s="6" t="n">
        <f aca="false">B53*B38</f>
        <v>4325.29122867869</v>
      </c>
    </row>
    <row r="57" customFormat="false" ht="15" hidden="false" customHeight="false" outlineLevel="0" collapsed="false">
      <c r="A57" s="8" t="s">
        <v>356</v>
      </c>
      <c r="B57" s="45" t="n">
        <f aca="false">SUM(B54:B56)</f>
        <v>29133.4022758799</v>
      </c>
    </row>
    <row r="58" customFormat="false" ht="15" hidden="false" customHeight="false" outlineLevel="0" collapsed="false">
      <c r="A58" s="4" t="s">
        <v>357</v>
      </c>
      <c r="B58" s="6" t="n">
        <f aca="false">B50*B49</f>
        <v>110887</v>
      </c>
    </row>
    <row r="59" customFormat="false" ht="15" hidden="false" customHeight="false" outlineLevel="0" collapsed="false">
      <c r="A59" s="4" t="s">
        <v>358</v>
      </c>
      <c r="B59" s="6" t="n">
        <f aca="false">B25*B49</f>
        <v>25851</v>
      </c>
    </row>
    <row r="60" customFormat="false" ht="15" hidden="false" customHeight="false" outlineLevel="0" collapsed="false">
      <c r="A60" s="4" t="s">
        <v>359</v>
      </c>
      <c r="B60" s="6" t="n">
        <f aca="false">(B26+B27)*(1+Supuestos!B4)*B49</f>
        <v>826</v>
      </c>
    </row>
    <row r="61" customFormat="false" ht="15" hidden="false" customHeight="false" outlineLevel="0" collapsed="false">
      <c r="A61" s="4" t="s">
        <v>360</v>
      </c>
      <c r="B61" s="6" t="n">
        <f aca="false">B28*B49</f>
        <v>2121.735</v>
      </c>
    </row>
    <row r="62" customFormat="false" ht="15" hidden="false" customHeight="false" outlineLevel="0" collapsed="false">
      <c r="A62" s="4" t="s">
        <v>361</v>
      </c>
      <c r="B62" s="6" t="n">
        <f aca="false">SUM(B42:B45)+B46</f>
        <v>4366</v>
      </c>
    </row>
    <row r="63" customFormat="false" ht="15" hidden="false" customHeight="false" outlineLevel="0" collapsed="false">
      <c r="A63" s="8" t="s">
        <v>362</v>
      </c>
      <c r="B63" s="45" t="n">
        <f aca="false">B58+B59+B60+B61+B57+B62</f>
        <v>173185.13727588</v>
      </c>
    </row>
    <row r="64" customFormat="false" ht="15" hidden="false" customHeight="false" outlineLevel="0" collapsed="false">
      <c r="A64" s="4" t="s">
        <v>363</v>
      </c>
      <c r="B64" s="27" t="n">
        <f aca="false">Costo_Lima!B19*(B55+B56+B46+(B60-B60/(1+Supuestos!B4))+(B61-B61/(1+Supuestos!B4)))</f>
        <v>30249.0567674053</v>
      </c>
    </row>
    <row r="65" customFormat="false" ht="15" hidden="false" customHeight="false" outlineLevel="0" collapsed="false">
      <c r="A65" s="8" t="s">
        <v>364</v>
      </c>
      <c r="B65" s="46" t="n">
        <f aca="false">B63-B64</f>
        <v>142936.080508475</v>
      </c>
    </row>
    <row r="66" customFormat="false" ht="15" hidden="false" customHeight="false" outlineLevel="0" collapsed="false">
      <c r="A66" s="4" t="s">
        <v>365</v>
      </c>
      <c r="B66" s="42" t="n">
        <f aca="false">B65/B49</f>
        <v>40838.8801452785</v>
      </c>
    </row>
    <row r="67" customFormat="false" ht="15" hidden="false" customHeight="false" outlineLevel="0" collapsed="false">
      <c r="A67" s="8" t="s">
        <v>366</v>
      </c>
      <c r="B67" s="46" t="n">
        <f aca="false">B59+B60+B61+B57+B62</f>
        <v>62298.1372758799</v>
      </c>
      <c r="C67" s="2" t="s">
        <v>367</v>
      </c>
    </row>
    <row r="69" customFormat="false" ht="15" hidden="false" customHeight="false" outlineLevel="0" collapsed="false">
      <c r="A69" s="11" t="s">
        <v>368</v>
      </c>
      <c r="B69" s="12"/>
      <c r="C69" s="12"/>
      <c r="D69" s="12"/>
      <c r="E69" s="12"/>
      <c r="F69" s="12"/>
      <c r="G69" s="12"/>
    </row>
    <row r="70" customFormat="false" ht="45" hidden="false" customHeight="true" outlineLevel="0" collapsed="false">
      <c r="A70" s="13" t="s">
        <v>18</v>
      </c>
      <c r="B70" s="13" t="s">
        <v>296</v>
      </c>
      <c r="C70" s="13" t="s">
        <v>369</v>
      </c>
      <c r="D70" s="13" t="s">
        <v>370</v>
      </c>
      <c r="E70" s="13" t="s">
        <v>371</v>
      </c>
      <c r="F70" s="13" t="s">
        <v>372</v>
      </c>
    </row>
    <row r="71" customFormat="false" ht="15" hidden="false" customHeight="false" outlineLevel="0" collapsed="false">
      <c r="A71" s="4" t="str">
        <f aca="false">A5</f>
        <v>Bidon purificador 22 L</v>
      </c>
      <c r="B71" s="14" t="n">
        <f aca="false">B5</f>
        <v>804</v>
      </c>
      <c r="C71" s="6" t="n">
        <f aca="false">D5*$B$49+($B$59+$B$60/(1+Supuestos!$B$4)+$B$61/(1+Supuestos!$B$4)+SUM($B$42:$B$45))*F5+$B$54*G5</f>
        <v>38229.3569077301</v>
      </c>
      <c r="D71" s="52" t="n">
        <f aca="false">C71/B71</f>
        <v>47.5489513777738</v>
      </c>
      <c r="E71" s="42" t="n">
        <f aca="false">(C71+(($B$55+$B$56)*G5)+($B$46+($B$60-$B$60/(1+Supuestos!$B$4))+($B$61-$B$61/(1+Supuestos!$B$4)))*F5)/B71</f>
        <v>56.7825001958466</v>
      </c>
      <c r="F71" s="48" t="n">
        <f aca="false">IF(Costo_Lima!$B$19=1,D71,E71)</f>
        <v>47.5489513777738</v>
      </c>
    </row>
    <row r="72" customFormat="false" ht="15" hidden="false" customHeight="false" outlineLevel="0" collapsed="false">
      <c r="A72" s="4" t="str">
        <f aca="false">A6</f>
        <v>Bidon purificador 16 L</v>
      </c>
      <c r="B72" s="14" t="n">
        <f aca="false">B6</f>
        <v>804</v>
      </c>
      <c r="C72" s="6" t="n">
        <f aca="false">D6*$B$49+($B$59+$B$60/(1+Supuestos!$B$4)+$B$61/(1+Supuestos!$B$4)+SUM($B$42:$B$45))*F6+$B$54*G6</f>
        <v>32032.6397453441</v>
      </c>
      <c r="D72" s="52" t="n">
        <f aca="false">C72/B72</f>
        <v>39.8415917230648</v>
      </c>
      <c r="E72" s="42" t="n">
        <f aca="false">(C72+(($B$55+$B$56)*G6)+($B$46+($B$60-$B$60/(1+Supuestos!$B$4))+($B$61-$B$61/(1+Supuestos!$B$4)))*F6)/B72</f>
        <v>46.8125434023889</v>
      </c>
      <c r="F72" s="48" t="n">
        <f aca="false">IF(Costo_Lima!$B$19=1,D72,E72)</f>
        <v>39.8415917230648</v>
      </c>
    </row>
    <row r="73" customFormat="false" ht="15" hidden="false" customHeight="false" outlineLevel="0" collapsed="false">
      <c r="A73" s="4" t="str">
        <f aca="false">A7</f>
        <v>Kit de filtros 3 en 1</v>
      </c>
      <c r="B73" s="14" t="n">
        <f aca="false">B7</f>
        <v>840</v>
      </c>
      <c r="C73" s="6" t="n">
        <f aca="false">D7*$B$49+($B$59+$B$60/(1+Supuestos!$B$4)+$B$61/(1+Supuestos!$B$4)+SUM($B$42:$B$45))*F7+$B$54*G7</f>
        <v>9161.77656577066</v>
      </c>
      <c r="D73" s="52" t="n">
        <f aca="false">C73/B73</f>
        <v>10.9068768640127</v>
      </c>
      <c r="E73" s="42" t="n">
        <f aca="false">(C73+(($B$55+$B$56)*G7)+($B$46+($B$60-$B$60/(1+Supuestos!$B$4))+($B$61-$B$61/(1+Supuestos!$B$4)))*F7)/B73</f>
        <v>12.9617641608645</v>
      </c>
      <c r="F73" s="48" t="n">
        <f aca="false">IF(Costo_Lima!$B$19=1,D73,E73)</f>
        <v>10.9068768640127</v>
      </c>
    </row>
    <row r="74" customFormat="false" ht="15" hidden="false" customHeight="false" outlineLevel="0" collapsed="false">
      <c r="A74" s="4" t="str">
        <f aca="false">A8</f>
        <v>elvo· Cero R260 (100 maquinas + 20 filtros + entrega a Ningbo)</v>
      </c>
      <c r="B74" s="14" t="n">
        <f aca="false">B8</f>
        <v>100</v>
      </c>
      <c r="C74" s="6" t="n">
        <f aca="false">D8*$B$49+($B$59+$B$60/(1+Supuestos!$B$4)+$B$61/(1+Supuestos!$B$4)+SUM($B$42:$B$45))*F8+$B$54*G8</f>
        <v>63512.3072896298</v>
      </c>
      <c r="D74" s="52" t="n">
        <f aca="false">C74/B74</f>
        <v>635.123072896298</v>
      </c>
      <c r="E74" s="42" t="n">
        <f aca="false">(C74+(($B$55+$B$56)*G8)+($B$46+($B$60-$B$60/(1+Supuestos!$B$4))+($B$61-$B$61/(1+Supuestos!$B$4)))*F8)/B74</f>
        <v>790.068403277724</v>
      </c>
      <c r="F74" s="48" t="n">
        <f aca="false">IF(Costo_Lima!$B$19=1,D74,E74)</f>
        <v>635.123072896298</v>
      </c>
    </row>
    <row r="75" customFormat="false" ht="15" hidden="false" customHeight="false" outlineLevel="0" collapsed="false">
      <c r="A75" s="8" t="s">
        <v>108</v>
      </c>
      <c r="C75" s="45" t="n">
        <f aca="false">SUM(C71:C74)</f>
        <v>142936.080508475</v>
      </c>
      <c r="D75" s="42" t="n">
        <f aca="false">C75-B65</f>
        <v>0</v>
      </c>
      <c r="E75" s="2" t="s">
        <v>373</v>
      </c>
    </row>
    <row r="76" customFormat="false" ht="15" hidden="false" customHeight="false" outlineLevel="0" collapsed="false">
      <c r="A76" s="2" t="s">
        <v>374</v>
      </c>
    </row>
    <row r="78" customFormat="false" ht="15" hidden="false" customHeight="false" outlineLevel="0" collapsed="false">
      <c r="A78" s="11" t="s">
        <v>375</v>
      </c>
      <c r="B78" s="12"/>
      <c r="C78" s="12"/>
      <c r="D78" s="12"/>
      <c r="E78" s="12"/>
      <c r="F78" s="12"/>
      <c r="G78" s="12"/>
    </row>
    <row r="79" customFormat="false" ht="15" hidden="false" customHeight="false" outlineLevel="0" collapsed="false">
      <c r="A79" s="13" t="s">
        <v>308</v>
      </c>
      <c r="B79" s="13" t="s">
        <v>28</v>
      </c>
      <c r="C79" s="13" t="s">
        <v>29</v>
      </c>
      <c r="D79" s="13" t="s">
        <v>376</v>
      </c>
      <c r="E79" s="13" t="s">
        <v>30</v>
      </c>
    </row>
    <row r="80" customFormat="false" ht="15" hidden="false" customHeight="false" outlineLevel="0" collapsed="false">
      <c r="A80" s="4" t="s">
        <v>377</v>
      </c>
      <c r="B80" s="21" t="n">
        <v>219</v>
      </c>
      <c r="C80" s="21" t="n">
        <v>159</v>
      </c>
      <c r="D80" s="21" t="n">
        <v>85</v>
      </c>
      <c r="E80" s="21" t="n">
        <v>2299</v>
      </c>
    </row>
    <row r="81" customFormat="false" ht="15" hidden="false" customHeight="false" outlineLevel="0" collapsed="false">
      <c r="A81" s="4" t="s">
        <v>277</v>
      </c>
      <c r="B81" s="6" t="n">
        <f aca="false">B80/(1+Supuestos!$B$4)</f>
        <v>185.593220338983</v>
      </c>
      <c r="C81" s="6" t="n">
        <f aca="false">C80/(1+Supuestos!$B$4)</f>
        <v>134.745762711864</v>
      </c>
      <c r="D81" s="6" t="n">
        <f aca="false">D80/(1+Supuestos!$B$4)</f>
        <v>72.0338983050848</v>
      </c>
      <c r="E81" s="6" t="n">
        <f aca="false">E80/(1+Supuestos!$B$4)</f>
        <v>1948.30508474576</v>
      </c>
    </row>
    <row r="82" customFormat="false" ht="15" hidden="false" customHeight="false" outlineLevel="0" collapsed="false">
      <c r="A82" s="4" t="s">
        <v>368</v>
      </c>
      <c r="B82" s="6" t="n">
        <f aca="false">-F71</f>
        <v>-47.5489513777738</v>
      </c>
      <c r="C82" s="6" t="n">
        <f aca="false">-F72</f>
        <v>-39.8415917230648</v>
      </c>
      <c r="D82" s="6" t="n">
        <f aca="false">-F73</f>
        <v>-10.9068768640127</v>
      </c>
      <c r="E82" s="6" t="n">
        <f aca="false">-F74</f>
        <v>-635.123072896298</v>
      </c>
    </row>
    <row r="83" customFormat="false" ht="15" hidden="false" customHeight="false" outlineLevel="0" collapsed="false">
      <c r="A83" s="4" t="s">
        <v>278</v>
      </c>
      <c r="B83" s="27" t="n">
        <f aca="false">-(B80*Supuestos!$B$31+Supuestos!$B$32)</f>
        <v>-7.10723</v>
      </c>
      <c r="C83" s="27" t="n">
        <f aca="false">-(C80*Supuestos!$B$31+Supuestos!$B$32)</f>
        <v>-5.29703</v>
      </c>
      <c r="D83" s="27" t="n">
        <f aca="false">-(D80*Supuestos!$B$31+Supuestos!$B$32)</f>
        <v>-3.06445</v>
      </c>
      <c r="E83" s="27" t="n">
        <f aca="false">-(E80*Supuestos!$B$31+Supuestos!$B$32)</f>
        <v>-69.86083</v>
      </c>
    </row>
    <row r="84" customFormat="false" ht="15" hidden="false" customHeight="false" outlineLevel="0" collapsed="false">
      <c r="A84" s="4" t="s">
        <v>279</v>
      </c>
      <c r="B84" s="27" t="n">
        <f aca="false">-Supuestos!$B$16</f>
        <v>-3.5</v>
      </c>
      <c r="C84" s="27" t="n">
        <f aca="false">-Supuestos!$B$16</f>
        <v>-3.5</v>
      </c>
      <c r="D84" s="27" t="n">
        <f aca="false">-Supuestos!$B$16</f>
        <v>-3.5</v>
      </c>
      <c r="E84" s="27" t="n">
        <f aca="false">-Supuestos!$B$16</f>
        <v>-3.5</v>
      </c>
    </row>
    <row r="85" customFormat="false" ht="15" hidden="false" customHeight="false" outlineLevel="0" collapsed="false">
      <c r="A85" s="4" t="s">
        <v>280</v>
      </c>
      <c r="B85" s="27" t="n">
        <f aca="false">-Supuestos!$B$18</f>
        <v>-12.5</v>
      </c>
      <c r="C85" s="27" t="n">
        <f aca="false">-Supuestos!$B$18</f>
        <v>-12.5</v>
      </c>
      <c r="D85" s="27" t="n">
        <f aca="false">-Supuestos!$B$18</f>
        <v>-12.5</v>
      </c>
      <c r="E85" s="27" t="n">
        <f aca="false">-Supuestos!$B$18</f>
        <v>-12.5</v>
      </c>
    </row>
    <row r="86" customFormat="false" ht="15" hidden="false" customHeight="false" outlineLevel="0" collapsed="false">
      <c r="A86" s="4" t="s">
        <v>378</v>
      </c>
      <c r="B86" s="6" t="n">
        <f aca="false">-B80*B94</f>
        <v>-0</v>
      </c>
      <c r="C86" s="6" t="n">
        <f aca="false">-C80*C94</f>
        <v>-0</v>
      </c>
      <c r="D86" s="6" t="n">
        <f aca="false">-D80*D94</f>
        <v>-0</v>
      </c>
      <c r="E86" s="6" t="n">
        <f aca="false">-E80*E94</f>
        <v>-91.96</v>
      </c>
    </row>
    <row r="87" customFormat="false" ht="15" hidden="false" customHeight="false" outlineLevel="0" collapsed="false">
      <c r="A87" s="4" t="s">
        <v>281</v>
      </c>
      <c r="B87" s="45" t="n">
        <f aca="false">SUM(B81:B86)</f>
        <v>114.937038961209</v>
      </c>
      <c r="C87" s="45" t="n">
        <f aca="false">SUM(C81:C86)</f>
        <v>73.6071409887997</v>
      </c>
      <c r="D87" s="45" t="n">
        <f aca="false">SUM(D81:D86)</f>
        <v>42.0625714410721</v>
      </c>
      <c r="E87" s="45" t="n">
        <f aca="false">SUM(E81:E86)</f>
        <v>1135.36118184947</v>
      </c>
    </row>
    <row r="88" customFormat="false" ht="15" hidden="false" customHeight="false" outlineLevel="0" collapsed="false">
      <c r="A88" s="4" t="s">
        <v>282</v>
      </c>
      <c r="B88" s="6" t="n">
        <f aca="false">-(1-Supuestos!$B$7)*(B81+B82+B83+B86)</f>
        <v>-26.1874077922419</v>
      </c>
      <c r="C88" s="6" t="n">
        <f aca="false">-(1-Supuestos!$B$7)*(C81+C82+C83+C86)</f>
        <v>-17.9214281977599</v>
      </c>
      <c r="D88" s="6" t="n">
        <f aca="false">-(1-Supuestos!$B$7)*(D81+D82+D83+D86)</f>
        <v>-11.6125142882144</v>
      </c>
      <c r="E88" s="6" t="n">
        <f aca="false">-(1-Supuestos!$B$7)*(E81+E82+E83+E86)</f>
        <v>-230.272236369893</v>
      </c>
    </row>
    <row r="89" customFormat="false" ht="15" hidden="false" customHeight="false" outlineLevel="0" collapsed="false">
      <c r="A89" s="8" t="s">
        <v>283</v>
      </c>
      <c r="B89" s="45" t="n">
        <f aca="false">B87+B88</f>
        <v>88.7496311689675</v>
      </c>
      <c r="C89" s="45" t="n">
        <f aca="false">C87+C88</f>
        <v>55.6857127910397</v>
      </c>
      <c r="D89" s="45" t="n">
        <f aca="false">D87+D88</f>
        <v>30.4500571528577</v>
      </c>
      <c r="E89" s="45" t="n">
        <f aca="false">E87+E88</f>
        <v>905.088945479572</v>
      </c>
    </row>
    <row r="90" customFormat="false" ht="15" hidden="false" customHeight="false" outlineLevel="0" collapsed="false">
      <c r="A90" s="4" t="s">
        <v>379</v>
      </c>
      <c r="B90" s="27" t="n">
        <f aca="false">-Supuestos!$B$6*B95</f>
        <v>-32.5</v>
      </c>
      <c r="C90" s="27" t="n">
        <f aca="false">-Supuestos!$B$6*C95</f>
        <v>-32.5</v>
      </c>
      <c r="D90" s="27" t="n">
        <f aca="false">-Supuestos!$B$6*D95</f>
        <v>-0</v>
      </c>
      <c r="E90" s="27" t="n">
        <f aca="false">-Supuestos!$B$6*E95</f>
        <v>-162.5</v>
      </c>
    </row>
    <row r="91" customFormat="false" ht="15" hidden="false" customHeight="false" outlineLevel="0" collapsed="false">
      <c r="A91" s="8" t="s">
        <v>285</v>
      </c>
      <c r="B91" s="46" t="n">
        <f aca="false">B89+B90</f>
        <v>56.2496311689675</v>
      </c>
      <c r="C91" s="46" t="n">
        <f aca="false">C89+C90</f>
        <v>23.1857127910397</v>
      </c>
      <c r="D91" s="46" t="n">
        <f aca="false">D89+D90</f>
        <v>30.4500571528577</v>
      </c>
      <c r="E91" s="46" t="n">
        <f aca="false">E89+E90</f>
        <v>742.588945479572</v>
      </c>
    </row>
    <row r="92" customFormat="false" ht="15" hidden="false" customHeight="false" outlineLevel="0" collapsed="false">
      <c r="A92" s="4" t="s">
        <v>286</v>
      </c>
      <c r="B92" s="28" t="n">
        <f aca="false">B91/B80</f>
        <v>0.256847630908527</v>
      </c>
      <c r="C92" s="28" t="n">
        <f aca="false">C91/C80</f>
        <v>0.145822093025407</v>
      </c>
      <c r="D92" s="28" t="n">
        <f aca="false">D91/D80</f>
        <v>0.358235966504208</v>
      </c>
      <c r="E92" s="28" t="n">
        <f aca="false">E91/E80</f>
        <v>0.323005195945877</v>
      </c>
    </row>
    <row r="94" customFormat="false" ht="15" hidden="false" customHeight="false" outlineLevel="0" collapsed="false">
      <c r="A94" s="4" t="s">
        <v>380</v>
      </c>
      <c r="B94" s="19" t="n">
        <v>0</v>
      </c>
      <c r="C94" s="19" t="n">
        <v>0</v>
      </c>
      <c r="D94" s="19" t="n">
        <v>0</v>
      </c>
      <c r="E94" s="19" t="n">
        <v>0.04</v>
      </c>
    </row>
    <row r="95" customFormat="false" ht="15" hidden="false" customHeight="false" outlineLevel="0" collapsed="false">
      <c r="A95" s="4" t="s">
        <v>381</v>
      </c>
      <c r="B95" s="53" t="n">
        <f aca="false">Plan_Supuestos!K32</f>
        <v>0.5</v>
      </c>
      <c r="C95" s="53" t="n">
        <f aca="false">Plan_Supuestos!K33</f>
        <v>0.5</v>
      </c>
      <c r="D95" s="20" t="n">
        <v>0</v>
      </c>
      <c r="E95" s="53" t="n">
        <f aca="false">Plan_Supuestos!K34</f>
        <v>2.5</v>
      </c>
    </row>
    <row r="97" customFormat="false" ht="15" hidden="false" customHeight="false" outlineLevel="0" collapsed="false">
      <c r="A97" s="2" t="s">
        <v>382</v>
      </c>
    </row>
    <row r="98" customFormat="false" ht="15" hidden="false" customHeight="false" outlineLevel="0" collapsed="false">
      <c r="A98" s="2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4" customFormat="false" ht="15" hidden="false" customHeight="false" outlineLevel="0" collapsed="false">
      <c r="A4" s="11" t="s">
        <v>386</v>
      </c>
      <c r="B4" s="12"/>
      <c r="C4" s="12"/>
      <c r="D4" s="12"/>
      <c r="E4" s="12"/>
      <c r="F4" s="12"/>
      <c r="G4" s="12"/>
    </row>
    <row r="5" customFormat="false" ht="15" hidden="false" customHeight="false" outlineLevel="0" collapsed="false">
      <c r="A5" s="4" t="s">
        <v>225</v>
      </c>
      <c r="B5" s="17" t="n">
        <f aca="false">Supuestos!B16</f>
        <v>3.5</v>
      </c>
    </row>
    <row r="6" customFormat="false" ht="15" hidden="false" customHeight="false" outlineLevel="0" collapsed="false">
      <c r="A6" s="4" t="s">
        <v>228</v>
      </c>
      <c r="B6" s="17" t="n">
        <f aca="false">Supuestos!B18</f>
        <v>12.5</v>
      </c>
    </row>
    <row r="7" customFormat="false" ht="15" hidden="false" customHeight="false" outlineLevel="0" collapsed="false">
      <c r="A7" s="4" t="s">
        <v>387</v>
      </c>
      <c r="B7" s="17" t="n">
        <f aca="false">Supuestos!B38</f>
        <v>4</v>
      </c>
    </row>
    <row r="8" customFormat="false" ht="15" hidden="false" customHeight="false" outlineLevel="0" collapsed="false">
      <c r="A8" s="4" t="s">
        <v>388</v>
      </c>
      <c r="B8" s="36" t="n">
        <f aca="false">Supuestos!B7</f>
        <v>0.8</v>
      </c>
    </row>
    <row r="10" customFormat="false" ht="15" hidden="false" customHeight="false" outlineLevel="0" collapsed="false">
      <c r="A10" s="11" t="s">
        <v>389</v>
      </c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4" t="s">
        <v>390</v>
      </c>
      <c r="B11" s="38" t="n">
        <v>5.5</v>
      </c>
      <c r="C11" s="2" t="s">
        <v>391</v>
      </c>
    </row>
    <row r="12" customFormat="false" ht="15" hidden="false" customHeight="false" outlineLevel="0" collapsed="false">
      <c r="A12" s="4" t="s">
        <v>392</v>
      </c>
      <c r="B12" s="23" t="n">
        <v>8.75</v>
      </c>
      <c r="C12" s="2" t="s">
        <v>393</v>
      </c>
    </row>
    <row r="13" customFormat="false" ht="15" hidden="false" customHeight="false" outlineLevel="0" collapsed="false">
      <c r="A13" s="4" t="s">
        <v>394</v>
      </c>
      <c r="B13" s="38" t="n">
        <v>1.5</v>
      </c>
      <c r="C13" s="2" t="s">
        <v>395</v>
      </c>
    </row>
    <row r="14" customFormat="false" ht="15" hidden="false" customHeight="false" outlineLevel="0" collapsed="false">
      <c r="A14" s="4" t="s">
        <v>396</v>
      </c>
      <c r="B14" s="40" t="n">
        <v>0.045</v>
      </c>
      <c r="C14" s="2" t="s">
        <v>397</v>
      </c>
    </row>
    <row r="15" customFormat="false" ht="15" hidden="false" customHeight="false" outlineLevel="0" collapsed="false">
      <c r="A15" s="4" t="s">
        <v>398</v>
      </c>
      <c r="B15" s="40" t="n">
        <v>0.025</v>
      </c>
      <c r="C15" s="2" t="s">
        <v>399</v>
      </c>
    </row>
    <row r="16" customFormat="false" ht="15" hidden="false" customHeight="false" outlineLevel="0" collapsed="false">
      <c r="A16" s="4" t="s">
        <v>400</v>
      </c>
      <c r="B16" s="19" t="n">
        <v>0.25</v>
      </c>
      <c r="C16" s="2" t="s">
        <v>401</v>
      </c>
    </row>
    <row r="17" customFormat="false" ht="15" hidden="false" customHeight="false" outlineLevel="0" collapsed="false">
      <c r="A17" s="4" t="s">
        <v>402</v>
      </c>
      <c r="B17" s="38" t="n">
        <v>1</v>
      </c>
      <c r="C17" s="2" t="s">
        <v>403</v>
      </c>
    </row>
    <row r="18" customFormat="false" ht="15" hidden="false" customHeight="false" outlineLevel="0" collapsed="false">
      <c r="A18" s="4" t="s">
        <v>404</v>
      </c>
      <c r="B18" s="24" t="n">
        <v>1</v>
      </c>
      <c r="C18" s="2" t="s">
        <v>405</v>
      </c>
    </row>
    <row r="19" customFormat="false" ht="15" hidden="false" customHeight="false" outlineLevel="0" collapsed="false">
      <c r="A19" s="4" t="s">
        <v>406</v>
      </c>
      <c r="B19" s="50" t="n">
        <v>20</v>
      </c>
      <c r="C19" s="2" t="s">
        <v>407</v>
      </c>
    </row>
    <row r="20" customFormat="false" ht="15" hidden="false" customHeight="false" outlineLevel="0" collapsed="false">
      <c r="A20" s="4" t="s">
        <v>408</v>
      </c>
      <c r="B20" s="20" t="n">
        <v>0.5</v>
      </c>
      <c r="C20" s="2" t="s">
        <v>409</v>
      </c>
    </row>
    <row r="21" customFormat="false" ht="15" hidden="false" customHeight="false" outlineLevel="0" collapsed="false">
      <c r="A21" s="4" t="s">
        <v>410</v>
      </c>
      <c r="B21" s="19" t="n">
        <v>0.8</v>
      </c>
      <c r="C21" s="2" t="s">
        <v>411</v>
      </c>
    </row>
    <row r="22" customFormat="false" ht="15" hidden="false" customHeight="false" outlineLevel="0" collapsed="false">
      <c r="A22" s="4" t="s">
        <v>412</v>
      </c>
      <c r="B22" s="38" t="n">
        <v>114</v>
      </c>
      <c r="C22" s="2" t="s">
        <v>413</v>
      </c>
    </row>
    <row r="23" customFormat="false" ht="15" hidden="false" customHeight="false" outlineLevel="0" collapsed="false">
      <c r="A23" s="4" t="s">
        <v>414</v>
      </c>
      <c r="B23" s="39" t="n">
        <v>30</v>
      </c>
      <c r="C23" s="2" t="s">
        <v>415</v>
      </c>
    </row>
    <row r="24" customFormat="false" ht="15" hidden="false" customHeight="false" outlineLevel="0" collapsed="false">
      <c r="A24" s="4" t="s">
        <v>416</v>
      </c>
      <c r="B24" s="21" t="n">
        <v>100</v>
      </c>
      <c r="C24" s="2" t="s">
        <v>417</v>
      </c>
    </row>
    <row r="25" customFormat="false" ht="15" hidden="false" customHeight="false" outlineLevel="0" collapsed="false">
      <c r="A25" s="4" t="s">
        <v>418</v>
      </c>
      <c r="B25" s="15" t="n">
        <v>150</v>
      </c>
      <c r="C25" s="2" t="s">
        <v>419</v>
      </c>
    </row>
    <row r="26" customFormat="false" ht="15" hidden="false" customHeight="false" outlineLevel="0" collapsed="false">
      <c r="A26" s="4" t="s">
        <v>56</v>
      </c>
      <c r="B26" s="25" t="n">
        <f aca="false">Supuestos!B5</f>
        <v>3.5</v>
      </c>
    </row>
    <row r="27" customFormat="false" ht="15" hidden="false" customHeight="false" outlineLevel="0" collapsed="false">
      <c r="A27" s="4" t="s">
        <v>420</v>
      </c>
      <c r="B27" s="54" t="n">
        <f aca="false">B14*(1-B16)+B15*B16</f>
        <v>0.04</v>
      </c>
    </row>
    <row r="28" customFormat="false" ht="15" hidden="false" customHeight="false" outlineLevel="0" collapsed="false">
      <c r="A28" s="4" t="s">
        <v>421</v>
      </c>
      <c r="B28" s="48" t="n">
        <f aca="false">B11*MAX(B25,B24)/B24</f>
        <v>8.25</v>
      </c>
    </row>
    <row r="30" customFormat="false" ht="15" hidden="false" customHeight="false" outlineLevel="0" collapsed="false">
      <c r="A30" s="11" t="s">
        <v>422</v>
      </c>
      <c r="B30" s="12"/>
      <c r="C30" s="12"/>
      <c r="D30" s="12"/>
      <c r="E30" s="12"/>
      <c r="F30" s="12"/>
      <c r="G30" s="12"/>
    </row>
    <row r="31" customFormat="false" ht="30" hidden="false" customHeight="true" outlineLevel="0" collapsed="false">
      <c r="A31" s="44" t="s">
        <v>308</v>
      </c>
      <c r="B31" s="44" t="s">
        <v>259</v>
      </c>
      <c r="C31" s="44" t="s">
        <v>260</v>
      </c>
      <c r="D31" s="44" t="s">
        <v>261</v>
      </c>
      <c r="E31" s="44" t="s">
        <v>28</v>
      </c>
      <c r="F31" s="44" t="s">
        <v>29</v>
      </c>
      <c r="G31" s="44" t="s">
        <v>30</v>
      </c>
    </row>
    <row r="32" customFormat="false" ht="15" hidden="false" customHeight="false" outlineLevel="0" collapsed="false">
      <c r="A32" s="4" t="s">
        <v>423</v>
      </c>
      <c r="B32" s="35" t="n">
        <f aca="false">Desglose!B5</f>
        <v>299</v>
      </c>
      <c r="C32" s="35" t="n">
        <f aca="false">Desglose!C5</f>
        <v>349</v>
      </c>
      <c r="D32" s="35" t="n">
        <f aca="false">Desglose!D5</f>
        <v>399</v>
      </c>
      <c r="E32" s="35" t="n">
        <f aca="false">Contenedor2!B80</f>
        <v>219</v>
      </c>
      <c r="F32" s="35" t="n">
        <f aca="false">Contenedor2!C80</f>
        <v>159</v>
      </c>
      <c r="G32" s="35" t="n">
        <f aca="false">Contenedor2!E80</f>
        <v>2299</v>
      </c>
    </row>
    <row r="33" customFormat="false" ht="15" hidden="false" customHeight="false" outlineLevel="0" collapsed="false">
      <c r="A33" s="4" t="s">
        <v>424</v>
      </c>
      <c r="B33" s="27" t="n">
        <f aca="false">Desglose!B14+Desglose!B15+Desglose!B16</f>
        <v>221.44908902476</v>
      </c>
      <c r="C33" s="27" t="n">
        <f aca="false">Desglose!C14+Desglose!C15+Desglose!C16</f>
        <v>259.796949703949</v>
      </c>
      <c r="D33" s="27" t="n">
        <f aca="false">Desglose!D14+Desglose!D15+Desglose!D16</f>
        <v>295.628289706394</v>
      </c>
      <c r="E33" s="27" t="n">
        <f aca="false">Contenedor2!B81+Contenedor2!B82+Contenedor2!B83+Contenedor2!B86</f>
        <v>130.937038961209</v>
      </c>
      <c r="F33" s="27" t="n">
        <f aca="false">Contenedor2!C81+Contenedor2!C82+Contenedor2!C83+Contenedor2!C86</f>
        <v>89.6071409887996</v>
      </c>
      <c r="G33" s="27" t="n">
        <f aca="false">Contenedor2!E81+Contenedor2!E82+Contenedor2!E83+Contenedor2!E86</f>
        <v>1151.36118184947</v>
      </c>
    </row>
    <row r="34" customFormat="false" ht="15" hidden="false" customHeight="false" outlineLevel="0" collapsed="false">
      <c r="A34" s="4" t="s">
        <v>425</v>
      </c>
      <c r="B34" s="27" t="n">
        <f aca="false">Desglose!B16</f>
        <v>-9.52083</v>
      </c>
      <c r="C34" s="27" t="n">
        <f aca="false">Desglose!C16</f>
        <v>-11.02933</v>
      </c>
      <c r="D34" s="27" t="n">
        <f aca="false">Desglose!D16</f>
        <v>-12.53783</v>
      </c>
      <c r="E34" s="27" t="n">
        <f aca="false">Contenedor2!B83</f>
        <v>-7.10723</v>
      </c>
      <c r="F34" s="27" t="n">
        <f aca="false">Contenedor2!C83</f>
        <v>-5.29703</v>
      </c>
      <c r="G34" s="27" t="n">
        <f aca="false">Contenedor2!E83</f>
        <v>-69.86083</v>
      </c>
    </row>
    <row r="35" customFormat="false" ht="15" hidden="false" customHeight="false" outlineLevel="0" collapsed="false">
      <c r="A35" s="4" t="s">
        <v>426</v>
      </c>
      <c r="B35" s="55" t="n">
        <v>0.0077</v>
      </c>
      <c r="C35" s="55" t="n">
        <v>0.0077</v>
      </c>
      <c r="D35" s="55" t="n">
        <v>0.0077</v>
      </c>
      <c r="E35" s="55" t="n">
        <v>0.0242</v>
      </c>
      <c r="F35" s="55" t="n">
        <v>0.0259</v>
      </c>
      <c r="G35" s="55" t="n">
        <v>0.0875</v>
      </c>
    </row>
    <row r="36" customFormat="false" ht="15" hidden="false" customHeight="false" outlineLevel="0" collapsed="false">
      <c r="A36" s="4" t="s">
        <v>427</v>
      </c>
      <c r="B36" s="50" t="n">
        <v>1.5</v>
      </c>
      <c r="C36" s="50" t="n">
        <v>1.5</v>
      </c>
      <c r="D36" s="50" t="n">
        <v>2</v>
      </c>
      <c r="E36" s="50" t="n">
        <v>4.84</v>
      </c>
      <c r="F36" s="50" t="n">
        <v>5.18</v>
      </c>
      <c r="G36" s="50" t="n">
        <v>17.5</v>
      </c>
    </row>
    <row r="37" customFormat="false" ht="15" hidden="false" customHeight="false" outlineLevel="0" collapsed="false">
      <c r="A37" s="4" t="s">
        <v>428</v>
      </c>
      <c r="B37" s="24" t="n">
        <v>12</v>
      </c>
      <c r="C37" s="24" t="n">
        <v>12</v>
      </c>
      <c r="D37" s="24" t="n">
        <v>12</v>
      </c>
      <c r="E37" s="24" t="n">
        <v>6</v>
      </c>
      <c r="F37" s="24" t="n">
        <v>6</v>
      </c>
      <c r="G37" s="24" t="n">
        <v>1</v>
      </c>
    </row>
    <row r="38" customFormat="false" ht="15" hidden="false" customHeight="false" outlineLevel="0" collapsed="false">
      <c r="A38" s="4" t="s">
        <v>429</v>
      </c>
      <c r="B38" s="6" t="n">
        <f aca="false">$B$5+$B$6+$B$7</f>
        <v>20</v>
      </c>
      <c r="C38" s="6" t="n">
        <f aca="false">$B$5+$B$6+$B$7</f>
        <v>20</v>
      </c>
      <c r="D38" s="6" t="n">
        <f aca="false">$B$5+$B$6+$B$7</f>
        <v>20</v>
      </c>
      <c r="E38" s="6" t="n">
        <f aca="false">$B$5+$B$6+$B$7</f>
        <v>20</v>
      </c>
      <c r="F38" s="6" t="n">
        <f aca="false">$B$5+$B$6+$B$7</f>
        <v>20</v>
      </c>
      <c r="G38" s="6" t="n">
        <f aca="false">$B$5+$B$6+$B$7</f>
        <v>20</v>
      </c>
    </row>
    <row r="39" customFormat="false" ht="15" hidden="false" customHeight="false" outlineLevel="0" collapsed="false">
      <c r="A39" s="8" t="s">
        <v>430</v>
      </c>
      <c r="B39" s="45" t="n">
        <f aca="false">$B$8*B33-B38</f>
        <v>157.159271219808</v>
      </c>
      <c r="C39" s="45" t="n">
        <f aca="false">$B$8*C33-C38</f>
        <v>187.837559763159</v>
      </c>
      <c r="D39" s="45" t="n">
        <f aca="false">$B$8*D33-D38</f>
        <v>216.502631765115</v>
      </c>
      <c r="E39" s="45" t="n">
        <f aca="false">$B$8*E33-E38</f>
        <v>84.7496311689675</v>
      </c>
      <c r="F39" s="45" t="n">
        <f aca="false">$B$8*F33-F38</f>
        <v>51.6857127910397</v>
      </c>
      <c r="G39" s="45" t="n">
        <f aca="false">$B$8*G33-G38</f>
        <v>901.088945479572</v>
      </c>
    </row>
    <row r="40" customFormat="false" ht="15" hidden="false" customHeight="false" outlineLevel="0" collapsed="false">
      <c r="A40" s="4" t="s">
        <v>431</v>
      </c>
      <c r="B40" s="6" t="n">
        <f aca="false">$B$28+$B$12+MAX(0,B36-3)*$B$13</f>
        <v>17</v>
      </c>
      <c r="C40" s="6" t="n">
        <f aca="false">$B$28+$B$12+MAX(0,C36-3)*$B$13</f>
        <v>17</v>
      </c>
      <c r="D40" s="6" t="n">
        <f aca="false">$B$28+$B$12+MAX(0,D36-3)*$B$13</f>
        <v>17</v>
      </c>
      <c r="E40" s="6" t="n">
        <f aca="false">$B$28+$B$12+MAX(0,E36-3)*$B$13</f>
        <v>19.76</v>
      </c>
      <c r="F40" s="6" t="n">
        <f aca="false">$B$28+$B$12+MAX(0,F36-3)*$B$13</f>
        <v>20.27</v>
      </c>
      <c r="G40" s="6" t="n">
        <f aca="false">$B$28+$B$12+MAX(0,G36-3)*$B$13</f>
        <v>38.75</v>
      </c>
    </row>
    <row r="41" customFormat="false" ht="15" hidden="false" customHeight="false" outlineLevel="0" collapsed="false">
      <c r="A41" s="4" t="s">
        <v>432</v>
      </c>
      <c r="B41" s="6" t="n">
        <f aca="false">$B$27*B32*$B$21</f>
        <v>9.568</v>
      </c>
      <c r="C41" s="6" t="n">
        <f aca="false">$B$27*C32*$B$21</f>
        <v>11.168</v>
      </c>
      <c r="D41" s="6" t="n">
        <f aca="false">$B$27*D32*$B$21</f>
        <v>12.768</v>
      </c>
      <c r="E41" s="6" t="n">
        <f aca="false">$B$27*E32*$B$21</f>
        <v>7.008</v>
      </c>
      <c r="F41" s="6" t="n">
        <f aca="false">$B$27*F32*$B$21</f>
        <v>5.088</v>
      </c>
      <c r="G41" s="6" t="n">
        <f aca="false">$B$27*G32*$B$21</f>
        <v>73.568</v>
      </c>
    </row>
    <row r="42" customFormat="false" ht="15" hidden="false" customHeight="false" outlineLevel="0" collapsed="false">
      <c r="A42" s="4" t="s">
        <v>433</v>
      </c>
      <c r="B42" s="6" t="n">
        <f aca="false">(1-$B$21)*$B$17</f>
        <v>0.2</v>
      </c>
      <c r="C42" s="6" t="n">
        <f aca="false">(1-$B$21)*$B$17</f>
        <v>0.2</v>
      </c>
      <c r="D42" s="6" t="n">
        <f aca="false">(1-$B$21)*$B$17</f>
        <v>0.2</v>
      </c>
      <c r="E42" s="6" t="n">
        <f aca="false">(1-$B$21)*$B$17</f>
        <v>0.2</v>
      </c>
      <c r="F42" s="6" t="n">
        <f aca="false">(1-$B$21)*$B$17</f>
        <v>0.2</v>
      </c>
      <c r="G42" s="6" t="n">
        <f aca="false">(1-$B$21)*$B$17</f>
        <v>0.2</v>
      </c>
    </row>
    <row r="43" customFormat="false" ht="15" hidden="false" customHeight="false" outlineLevel="0" collapsed="false">
      <c r="A43" s="4" t="s">
        <v>434</v>
      </c>
      <c r="B43" s="6" t="n">
        <f aca="false">B35*$B$19*$B$26*$B$20</f>
        <v>0.2695</v>
      </c>
      <c r="C43" s="6" t="n">
        <f aca="false">C35*$B$19*$B$26*$B$20</f>
        <v>0.2695</v>
      </c>
      <c r="D43" s="6" t="n">
        <f aca="false">D35*$B$19*$B$26*$B$20</f>
        <v>0.2695</v>
      </c>
      <c r="E43" s="6" t="n">
        <f aca="false">E35*$B$19*$B$26*$B$20</f>
        <v>0.847</v>
      </c>
      <c r="F43" s="6" t="n">
        <f aca="false">F35*$B$19*$B$26*$B$20</f>
        <v>0.9065</v>
      </c>
      <c r="G43" s="6" t="n">
        <f aca="false">G35*$B$19*$B$26*$B$20</f>
        <v>3.0625</v>
      </c>
    </row>
    <row r="44" customFormat="false" ht="15" hidden="false" customHeight="false" outlineLevel="0" collapsed="false">
      <c r="A44" s="4" t="s">
        <v>435</v>
      </c>
      <c r="B44" s="6" t="n">
        <f aca="false">$B$22/($B$23*B37)</f>
        <v>0.316666666666667</v>
      </c>
      <c r="C44" s="6" t="n">
        <f aca="false">$B$22/($B$23*C37)</f>
        <v>0.316666666666667</v>
      </c>
      <c r="D44" s="6" t="n">
        <f aca="false">$B$22/($B$23*D37)</f>
        <v>0.316666666666667</v>
      </c>
      <c r="E44" s="6" t="n">
        <f aca="false">$B$22/($B$23*E37)</f>
        <v>0.633333333333333</v>
      </c>
      <c r="F44" s="6" t="n">
        <f aca="false">$B$22/($B$23*F37)</f>
        <v>0.633333333333333</v>
      </c>
      <c r="G44" s="6" t="n">
        <f aca="false">$B$22/($B$23*G37)</f>
        <v>3.8</v>
      </c>
    </row>
    <row r="45" customFormat="false" ht="15" hidden="false" customHeight="false" outlineLevel="0" collapsed="false">
      <c r="A45" s="4" t="s">
        <v>436</v>
      </c>
      <c r="B45" s="27" t="n">
        <f aca="false">Stock_Hub!$B$28/Stock_Hub!$B$31</f>
        <v>2.14285714285714</v>
      </c>
      <c r="C45" s="27" t="n">
        <f aca="false">Stock_Hub!$B$28/Stock_Hub!$B$31</f>
        <v>2.14285714285714</v>
      </c>
      <c r="D45" s="27" t="n">
        <f aca="false">Stock_Hub!$B$28/Stock_Hub!$B$31</f>
        <v>2.14285714285714</v>
      </c>
      <c r="E45" s="27" t="n">
        <f aca="false">Stock_Hub!$B$28/Stock_Hub!$B$31</f>
        <v>2.14285714285714</v>
      </c>
      <c r="F45" s="27" t="n">
        <f aca="false">Stock_Hub!$B$28/Stock_Hub!$B$31</f>
        <v>2.14285714285714</v>
      </c>
      <c r="G45" s="27" t="n">
        <f aca="false">Stock_Hub!$B$28/Stock_Hub!$B$31</f>
        <v>2.14285714285714</v>
      </c>
    </row>
    <row r="46" customFormat="false" ht="15" hidden="false" customHeight="false" outlineLevel="0" collapsed="false">
      <c r="A46" s="4" t="s">
        <v>437</v>
      </c>
      <c r="B46" s="6" t="n">
        <f aca="false">SUM(B40:B45)</f>
        <v>29.4970238095238</v>
      </c>
      <c r="C46" s="6" t="n">
        <f aca="false">SUM(C40:C45)</f>
        <v>31.0970238095238</v>
      </c>
      <c r="D46" s="6" t="n">
        <f aca="false">SUM(D40:D45)</f>
        <v>32.6970238095238</v>
      </c>
      <c r="E46" s="6" t="n">
        <f aca="false">SUM(E40:E45)</f>
        <v>30.5911904761905</v>
      </c>
      <c r="F46" s="6" t="n">
        <f aca="false">SUM(F40:F45)</f>
        <v>29.2406904761905</v>
      </c>
      <c r="G46" s="6" t="n">
        <f aca="false">SUM(G40:G45)</f>
        <v>121.523357142857</v>
      </c>
    </row>
    <row r="47" customFormat="false" ht="15" hidden="false" customHeight="false" outlineLevel="0" collapsed="false">
      <c r="A47" s="4" t="s">
        <v>438</v>
      </c>
      <c r="B47" s="6" t="n">
        <f aca="false">B33-$B$18*B34</f>
        <v>230.96991902476</v>
      </c>
      <c r="C47" s="6" t="n">
        <f aca="false">C33-$B$18*C34</f>
        <v>270.826279703949</v>
      </c>
      <c r="D47" s="6" t="n">
        <f aca="false">D33-$B$18*D34</f>
        <v>308.166119706394</v>
      </c>
      <c r="E47" s="6" t="n">
        <f aca="false">E33-$B$18*E34</f>
        <v>138.044268961209</v>
      </c>
      <c r="F47" s="6" t="n">
        <f aca="false">F33-$B$18*F34</f>
        <v>94.9041709887997</v>
      </c>
      <c r="G47" s="6" t="n">
        <f aca="false">G33-$B$18*G34</f>
        <v>1221.22201184947</v>
      </c>
    </row>
    <row r="48" customFormat="false" ht="15" hidden="false" customHeight="false" outlineLevel="0" collapsed="false">
      <c r="A48" s="8" t="s">
        <v>439</v>
      </c>
      <c r="B48" s="45" t="n">
        <f aca="false">$B$21*B47-B46</f>
        <v>155.278911410284</v>
      </c>
      <c r="C48" s="45" t="n">
        <f aca="false">$B$21*C47-C46</f>
        <v>185.563999953635</v>
      </c>
      <c r="D48" s="45" t="n">
        <f aca="false">$B$21*D47-D46</f>
        <v>213.835871955591</v>
      </c>
      <c r="E48" s="45" t="n">
        <f aca="false">$B$21*E47-E46</f>
        <v>79.844224692777</v>
      </c>
      <c r="F48" s="45" t="n">
        <f aca="false">$B$21*F47-F46</f>
        <v>46.6826463148492</v>
      </c>
      <c r="G48" s="45" t="n">
        <f aca="false">$B$21*G47-G46</f>
        <v>855.454252336715</v>
      </c>
    </row>
    <row r="49" customFormat="false" ht="15" hidden="false" customHeight="false" outlineLevel="0" collapsed="false">
      <c r="A49" s="8" t="s">
        <v>440</v>
      </c>
      <c r="B49" s="46" t="n">
        <f aca="false">B48-B39</f>
        <v>-1.88035980952384</v>
      </c>
      <c r="C49" s="46" t="n">
        <f aca="false">C48-C39</f>
        <v>-2.27355980952382</v>
      </c>
      <c r="D49" s="46" t="n">
        <f aca="false">D48-D39</f>
        <v>-2.66675980952382</v>
      </c>
      <c r="E49" s="46" t="n">
        <f aca="false">E48-E39</f>
        <v>-4.90540647619049</v>
      </c>
      <c r="F49" s="46" t="n">
        <f aca="false">F48-F39</f>
        <v>-5.00306647619048</v>
      </c>
      <c r="G49" s="46" t="n">
        <f aca="false">G48-G39</f>
        <v>-45.6346931428571</v>
      </c>
    </row>
    <row r="50" customFormat="false" ht="15" hidden="false" customHeight="false" outlineLevel="0" collapsed="false">
      <c r="A50" s="8" t="s">
        <v>441</v>
      </c>
      <c r="B50" s="56" t="n">
        <f aca="false">IF(B49&lt;0,-B49/B47,0)</f>
        <v>0.00814114590100482</v>
      </c>
      <c r="C50" s="56" t="n">
        <f aca="false">IF(C49&lt;0,-C49/C47,0)</f>
        <v>0.00839490101185579</v>
      </c>
      <c r="D50" s="56" t="n">
        <f aca="false">IF(D49&lt;0,-D49/D47,0)</f>
        <v>0.00865364372976688</v>
      </c>
      <c r="E50" s="56" t="n">
        <f aca="false">IF(E49&lt;0,-E49/E47,0)</f>
        <v>0.0355350244751481</v>
      </c>
      <c r="F50" s="56" t="n">
        <f aca="false">IF(F49&lt;0,-F49/F47,0)</f>
        <v>0.0527170347105285</v>
      </c>
      <c r="G50" s="56" t="n">
        <f aca="false">IF(G49&lt;0,-G49/G47,0)</f>
        <v>0.0373680565041128</v>
      </c>
    </row>
    <row r="51" customFormat="false" ht="15" hidden="false" customHeight="false" outlineLevel="0" collapsed="false">
      <c r="A51" s="8" t="s">
        <v>442</v>
      </c>
      <c r="B51" s="54" t="n">
        <f aca="false">($B$21*B47-(B40+B42+B43+B44)-B39)/(B32*$B$21)</f>
        <v>0.0410973968784837</v>
      </c>
      <c r="C51" s="54" t="n">
        <f aca="false">($B$21*C47-(C40+C42+C43+C44)-C39)/(C32*$B$21)</f>
        <v>0.0395318672397326</v>
      </c>
      <c r="D51" s="54" t="n">
        <f aca="false">($B$21*D47-(D40+D42+D43+D44)-D39)/(D32*$B$21)</f>
        <v>0.038358700918964</v>
      </c>
      <c r="E51" s="54" t="n">
        <f aca="false">($B$21*E47-(E40+E42+E43+E44)-E39)/(E32*$B$21)</f>
        <v>0.0242320243531202</v>
      </c>
      <c r="F51" s="54" t="n">
        <f aca="false">($B$21*F47-(F40+F42+F43+F44)-F39)/(F32*$B$21)</f>
        <v>0.0175140775681342</v>
      </c>
      <c r="G51" s="54" t="n">
        <f aca="false">($B$21*G47-(G40+G42+G43+G44)-G39)/(G32*$B$21)</f>
        <v>0.0163528512396695</v>
      </c>
    </row>
    <row r="54" customFormat="false" ht="15" hidden="false" customHeight="false" outlineLevel="0" collapsed="false">
      <c r="A54" s="11" t="s">
        <v>443</v>
      </c>
      <c r="B54" s="12"/>
      <c r="C54" s="12"/>
      <c r="D54" s="12"/>
      <c r="E54" s="12"/>
      <c r="F54" s="12"/>
      <c r="G54" s="12"/>
    </row>
    <row r="55" customFormat="false" ht="15" hidden="false" customHeight="false" outlineLevel="0" collapsed="false">
      <c r="A55" s="8" t="s">
        <v>444</v>
      </c>
      <c r="B55" s="15" t="n">
        <v>50</v>
      </c>
      <c r="C55" s="15" t="n">
        <v>75</v>
      </c>
      <c r="D55" s="15" t="n">
        <v>100</v>
      </c>
      <c r="E55" s="15" t="n">
        <v>150</v>
      </c>
      <c r="F55" s="15" t="n">
        <v>200</v>
      </c>
      <c r="G55" s="15" t="n">
        <v>300</v>
      </c>
    </row>
    <row r="56" customFormat="false" ht="15" hidden="false" customHeight="false" outlineLevel="0" collapsed="false">
      <c r="A56" s="8" t="s">
        <v>445</v>
      </c>
      <c r="B56" s="46" t="n">
        <f aca="false">$C$49+($B$28-$B$11*MAX($B$25,B55)/B55)</f>
        <v>-10.5235598095238</v>
      </c>
      <c r="C56" s="46" t="n">
        <f aca="false">$C$49+($B$28-$B$11*MAX($B$25,C55)/C55)</f>
        <v>-5.02355980952382</v>
      </c>
      <c r="D56" s="46" t="n">
        <f aca="false">$C$49+($B$28-$B$11*MAX($B$25,D55)/D55)</f>
        <v>-2.27355980952382</v>
      </c>
      <c r="E56" s="46" t="n">
        <f aca="false">$C$49+($B$28-$B$11*MAX($B$25,E55)/E55)</f>
        <v>0.476440190476183</v>
      </c>
      <c r="F56" s="46" t="n">
        <f aca="false">$C$49+($B$28-$B$11*MAX($B$25,F55)/F55)</f>
        <v>0.476440190476183</v>
      </c>
      <c r="G56" s="46" t="n">
        <f aca="false">$C$49+($B$28-$B$11*MAX($B$25,G55)/G55)</f>
        <v>0.476440190476183</v>
      </c>
    </row>
    <row r="58" customFormat="false" ht="15" hidden="false" customHeight="false" outlineLevel="0" collapsed="false">
      <c r="A58" s="2" t="s">
        <v>446</v>
      </c>
    </row>
    <row r="59" customFormat="false" ht="15" hidden="false" customHeight="false" outlineLevel="0" collapsed="false">
      <c r="A59" s="2" t="s">
        <v>447</v>
      </c>
    </row>
    <row r="60" customFormat="false" ht="15" hidden="false" customHeight="false" outlineLevel="0" collapsed="false">
      <c r="A60" s="2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3" customFormat="false" ht="15" hidden="false" customHeight="false" outlineLevel="0" collapsed="false">
      <c r="A3" s="11" t="s">
        <v>451</v>
      </c>
      <c r="B3" s="12"/>
      <c r="C3" s="12"/>
    </row>
    <row r="4" customFormat="false" ht="15" hidden="false" customHeight="false" outlineLevel="0" collapsed="false">
      <c r="A4" s="4" t="s">
        <v>452</v>
      </c>
      <c r="B4" s="17" t="n">
        <f aca="false">Supuestos!B18</f>
        <v>12.5</v>
      </c>
      <c r="C4" s="2" t="s">
        <v>453</v>
      </c>
    </row>
    <row r="5" customFormat="false" ht="15" hidden="false" customHeight="false" outlineLevel="0" collapsed="false">
      <c r="A5" s="4" t="s">
        <v>454</v>
      </c>
      <c r="B5" s="23" t="n">
        <v>1.5</v>
      </c>
      <c r="C5" s="2" t="s">
        <v>455</v>
      </c>
    </row>
    <row r="6" customFormat="false" ht="15" hidden="false" customHeight="false" outlineLevel="0" collapsed="false">
      <c r="A6" s="4" t="s">
        <v>456</v>
      </c>
      <c r="B6" s="38" t="n">
        <v>2</v>
      </c>
      <c r="C6" s="2" t="s">
        <v>457</v>
      </c>
    </row>
    <row r="7" customFormat="false" ht="15" hidden="false" customHeight="false" outlineLevel="0" collapsed="false">
      <c r="A7" s="4" t="s">
        <v>458</v>
      </c>
      <c r="B7" s="38" t="n">
        <v>0</v>
      </c>
      <c r="C7" s="2" t="s">
        <v>459</v>
      </c>
    </row>
    <row r="8" customFormat="false" ht="15" hidden="false" customHeight="false" outlineLevel="0" collapsed="false">
      <c r="A8" s="4" t="s">
        <v>460</v>
      </c>
      <c r="B8" s="51" t="n">
        <v>0</v>
      </c>
      <c r="C8" s="2" t="s">
        <v>461</v>
      </c>
    </row>
    <row r="9" customFormat="false" ht="15" hidden="false" customHeight="false" outlineLevel="0" collapsed="false">
      <c r="A9" s="4" t="s">
        <v>462</v>
      </c>
      <c r="B9" s="36" t="n">
        <f aca="false">Supuestos!B7</f>
        <v>0.8</v>
      </c>
      <c r="C9" s="2" t="s">
        <v>463</v>
      </c>
    </row>
    <row r="10" customFormat="false" ht="15" hidden="false" customHeight="false" outlineLevel="0" collapsed="false">
      <c r="A10" s="4" t="s">
        <v>464</v>
      </c>
      <c r="B10" s="35" t="n">
        <f aca="false">Courier_Hub!B24</f>
        <v>100</v>
      </c>
      <c r="C10" s="2" t="s">
        <v>465</v>
      </c>
    </row>
    <row r="11" customFormat="false" ht="15" hidden="false" customHeight="false" outlineLevel="0" collapsed="false">
      <c r="A11" s="4" t="s">
        <v>466</v>
      </c>
      <c r="B11" s="7" t="n">
        <f aca="false">B10/4.33</f>
        <v>23.094688221709</v>
      </c>
      <c r="C11" s="2"/>
    </row>
    <row r="12" customFormat="false" ht="15" hidden="false" customHeight="false" outlineLevel="0" collapsed="false">
      <c r="A12" s="4" t="s">
        <v>467</v>
      </c>
      <c r="B12" s="24" t="n">
        <v>15</v>
      </c>
      <c r="C12" s="2" t="s">
        <v>457</v>
      </c>
    </row>
    <row r="13" customFormat="false" ht="15" hidden="false" customHeight="false" outlineLevel="0" collapsed="false">
      <c r="A13" s="4" t="s">
        <v>468</v>
      </c>
      <c r="B13" s="38" t="n">
        <v>2</v>
      </c>
      <c r="C13" s="2" t="s">
        <v>469</v>
      </c>
    </row>
    <row r="14" customFormat="false" ht="15" hidden="false" customHeight="false" outlineLevel="0" collapsed="false">
      <c r="A14" s="4" t="s">
        <v>470</v>
      </c>
      <c r="B14" s="42" t="n">
        <f aca="false">IF(B11&lt;B12,B13*30,0)/B10</f>
        <v>0</v>
      </c>
      <c r="C14" s="2"/>
    </row>
    <row r="15" customFormat="false" ht="15" hidden="false" customHeight="false" outlineLevel="0" collapsed="false">
      <c r="A15" s="4" t="s">
        <v>394</v>
      </c>
      <c r="B15" s="57" t="n">
        <f aca="false">Courier_Hub!B13</f>
        <v>1.5</v>
      </c>
      <c r="C15" s="2" t="s">
        <v>471</v>
      </c>
    </row>
    <row r="17" customFormat="false" ht="30" hidden="false" customHeight="true" outlineLevel="0" collapsed="false">
      <c r="A17" s="44" t="s">
        <v>308</v>
      </c>
      <c r="B17" s="44" t="s">
        <v>259</v>
      </c>
      <c r="C17" s="44" t="s">
        <v>260</v>
      </c>
      <c r="D17" s="44" t="s">
        <v>261</v>
      </c>
      <c r="E17" s="44" t="s">
        <v>28</v>
      </c>
      <c r="F17" s="44" t="s">
        <v>29</v>
      </c>
      <c r="G17" s="44" t="s">
        <v>30</v>
      </c>
    </row>
    <row r="18" customFormat="false" ht="15" hidden="false" customHeight="false" outlineLevel="0" collapsed="false">
      <c r="A18" s="4" t="s">
        <v>423</v>
      </c>
      <c r="B18" s="35" t="n">
        <f aca="false">Courier_Hub!B32</f>
        <v>299</v>
      </c>
      <c r="C18" s="35" t="n">
        <f aca="false">Courier_Hub!C32</f>
        <v>349</v>
      </c>
      <c r="D18" s="35" t="n">
        <f aca="false">Courier_Hub!D32</f>
        <v>399</v>
      </c>
      <c r="E18" s="35" t="n">
        <f aca="false">Courier_Hub!E32</f>
        <v>219</v>
      </c>
      <c r="F18" s="35" t="n">
        <f aca="false">Courier_Hub!F32</f>
        <v>159</v>
      </c>
      <c r="G18" s="35" t="n">
        <f aca="false">Courier_Hub!G32</f>
        <v>2299</v>
      </c>
    </row>
    <row r="19" customFormat="false" ht="15" hidden="false" customHeight="false" outlineLevel="0" collapsed="false">
      <c r="A19" s="4" t="s">
        <v>424</v>
      </c>
      <c r="B19" s="27" t="n">
        <f aca="false">Courier_Hub!B33</f>
        <v>221.44908902476</v>
      </c>
      <c r="C19" s="27" t="n">
        <f aca="false">Courier_Hub!C33</f>
        <v>259.796949703949</v>
      </c>
      <c r="D19" s="27" t="n">
        <f aca="false">Courier_Hub!D33</f>
        <v>295.628289706394</v>
      </c>
      <c r="E19" s="27" t="n">
        <f aca="false">Courier_Hub!E33</f>
        <v>130.937038961209</v>
      </c>
      <c r="F19" s="27" t="n">
        <f aca="false">Courier_Hub!F33</f>
        <v>89.6071409887996</v>
      </c>
      <c r="G19" s="27" t="n">
        <f aca="false">Courier_Hub!G33</f>
        <v>1151.36118184947</v>
      </c>
    </row>
    <row r="20" customFormat="false" ht="15" hidden="false" customHeight="false" outlineLevel="0" collapsed="false">
      <c r="A20" s="4" t="s">
        <v>427</v>
      </c>
      <c r="B20" s="58" t="n">
        <f aca="false">Courier_Hub!B36</f>
        <v>1.5</v>
      </c>
      <c r="C20" s="58" t="n">
        <f aca="false">Courier_Hub!C36</f>
        <v>1.5</v>
      </c>
      <c r="D20" s="58" t="n">
        <f aca="false">Courier_Hub!D36</f>
        <v>2</v>
      </c>
      <c r="E20" s="58" t="n">
        <f aca="false">Courier_Hub!E36</f>
        <v>4.84</v>
      </c>
      <c r="F20" s="58" t="n">
        <f aca="false">Courier_Hub!F36</f>
        <v>5.18</v>
      </c>
      <c r="G20" s="58" t="n">
        <f aca="false">Courier_Hub!G36</f>
        <v>17.5</v>
      </c>
    </row>
    <row r="21" customFormat="false" ht="15" hidden="false" customHeight="false" outlineLevel="0" collapsed="false">
      <c r="A21" s="8" t="s">
        <v>472</v>
      </c>
      <c r="B21" s="27" t="n">
        <f aca="false">Courier_Hub!B39</f>
        <v>157.159271219808</v>
      </c>
      <c r="C21" s="27" t="n">
        <f aca="false">Courier_Hub!C39</f>
        <v>187.837559763159</v>
      </c>
      <c r="D21" s="27" t="n">
        <f aca="false">Courier_Hub!D39</f>
        <v>216.502631765115</v>
      </c>
      <c r="E21" s="27" t="n">
        <f aca="false">Courier_Hub!E39</f>
        <v>84.7496311689675</v>
      </c>
      <c r="F21" s="27" t="n">
        <f aca="false">Courier_Hub!F39</f>
        <v>51.6857127910397</v>
      </c>
      <c r="G21" s="27" t="n">
        <f aca="false">Courier_Hub!G39</f>
        <v>901.088945479572</v>
      </c>
    </row>
    <row r="22" customFormat="false" ht="15" hidden="false" customHeight="false" outlineLevel="0" collapsed="false">
      <c r="A22" s="4" t="s">
        <v>473</v>
      </c>
      <c r="B22" s="6" t="n">
        <f aca="false">$B$4+MAX(0,B20-3)*$B$15</f>
        <v>12.5</v>
      </c>
      <c r="C22" s="6" t="n">
        <f aca="false">$B$4+MAX(0,C20-3)*$B$15</f>
        <v>12.5</v>
      </c>
      <c r="D22" s="6" t="n">
        <f aca="false">$B$4+MAX(0,D20-3)*$B$15</f>
        <v>12.5</v>
      </c>
      <c r="E22" s="6" t="n">
        <f aca="false">$B$4+MAX(0,E20-3)*$B$15</f>
        <v>15.26</v>
      </c>
      <c r="F22" s="6" t="n">
        <f aca="false">$B$4+MAX(0,F20-3)*$B$15</f>
        <v>15.77</v>
      </c>
      <c r="G22" s="6" t="n">
        <f aca="false">$B$4+MAX(0,G20-3)*$B$15</f>
        <v>34.25</v>
      </c>
    </row>
    <row r="23" customFormat="false" ht="15" hidden="false" customHeight="false" outlineLevel="0" collapsed="false">
      <c r="A23" s="4" t="s">
        <v>474</v>
      </c>
      <c r="B23" s="6" t="n">
        <f aca="false">$B$5</f>
        <v>1.5</v>
      </c>
      <c r="C23" s="6" t="n">
        <f aca="false">$B$5</f>
        <v>1.5</v>
      </c>
      <c r="D23" s="6" t="n">
        <f aca="false">$B$5</f>
        <v>1.5</v>
      </c>
      <c r="E23" s="6" t="n">
        <f aca="false">$B$5</f>
        <v>1.5</v>
      </c>
      <c r="F23" s="6" t="n">
        <f aca="false">$B$5</f>
        <v>1.5</v>
      </c>
      <c r="G23" s="6" t="n">
        <f aca="false">$B$5</f>
        <v>1.5</v>
      </c>
    </row>
    <row r="24" customFormat="false" ht="15" hidden="false" customHeight="false" outlineLevel="0" collapsed="false">
      <c r="A24" s="4" t="s">
        <v>475</v>
      </c>
      <c r="B24" s="6" t="n">
        <f aca="false">(1-$B$9)*$B$6</f>
        <v>0.4</v>
      </c>
      <c r="C24" s="6" t="n">
        <f aca="false">(1-$B$9)*$B$6</f>
        <v>0.4</v>
      </c>
      <c r="D24" s="6" t="n">
        <f aca="false">(1-$B$9)*$B$6</f>
        <v>0.4</v>
      </c>
      <c r="E24" s="6" t="n">
        <f aca="false">(1-$B$9)*$B$6</f>
        <v>0.4</v>
      </c>
      <c r="F24" s="6" t="n">
        <f aca="false">(1-$B$9)*$B$6</f>
        <v>0.4</v>
      </c>
      <c r="G24" s="6" t="n">
        <f aca="false">(1-$B$9)*$B$6</f>
        <v>0.4</v>
      </c>
    </row>
    <row r="25" customFormat="false" ht="15" hidden="false" customHeight="false" outlineLevel="0" collapsed="false">
      <c r="A25" s="4" t="s">
        <v>476</v>
      </c>
      <c r="B25" s="6" t="n">
        <f aca="false">$B$14</f>
        <v>0</v>
      </c>
      <c r="C25" s="6" t="n">
        <f aca="false">$B$14</f>
        <v>0</v>
      </c>
      <c r="D25" s="6" t="n">
        <f aca="false">$B$14</f>
        <v>0</v>
      </c>
      <c r="E25" s="6" t="n">
        <f aca="false">$B$14</f>
        <v>0</v>
      </c>
      <c r="F25" s="6" t="n">
        <f aca="false">$B$14</f>
        <v>0</v>
      </c>
      <c r="G25" s="6" t="n">
        <f aca="false">$B$14</f>
        <v>0</v>
      </c>
    </row>
    <row r="26" customFormat="false" ht="15" hidden="false" customHeight="false" outlineLevel="0" collapsed="false">
      <c r="A26" s="4" t="s">
        <v>477</v>
      </c>
      <c r="B26" s="6" t="n">
        <f aca="false">$B$8*B18*$B$9</f>
        <v>0</v>
      </c>
      <c r="C26" s="6" t="n">
        <f aca="false">$B$8*C18*$B$9</f>
        <v>0</v>
      </c>
      <c r="D26" s="6" t="n">
        <f aca="false">$B$8*D18*$B$9</f>
        <v>0</v>
      </c>
      <c r="E26" s="6" t="n">
        <f aca="false">$B$8*E18*$B$9</f>
        <v>0</v>
      </c>
      <c r="F26" s="6" t="n">
        <f aca="false">$B$8*F18*$B$9</f>
        <v>0</v>
      </c>
      <c r="G26" s="6" t="n">
        <f aca="false">$B$8*G18*$B$9</f>
        <v>0</v>
      </c>
    </row>
    <row r="27" customFormat="false" ht="15" hidden="false" customHeight="false" outlineLevel="0" collapsed="false">
      <c r="A27" s="4" t="s">
        <v>478</v>
      </c>
      <c r="B27" s="6" t="n">
        <f aca="false">SUM(B22:B26)+$B$7</f>
        <v>14.4</v>
      </c>
      <c r="C27" s="6" t="n">
        <f aca="false">SUM(C22:C26)+$B$7</f>
        <v>14.4</v>
      </c>
      <c r="D27" s="6" t="n">
        <f aca="false">SUM(D22:D26)+$B$7</f>
        <v>14.4</v>
      </c>
      <c r="E27" s="6" t="n">
        <f aca="false">SUM(E22:E26)+$B$7</f>
        <v>17.16</v>
      </c>
      <c r="F27" s="6" t="n">
        <f aca="false">SUM(F22:F26)+$B$7</f>
        <v>17.67</v>
      </c>
      <c r="G27" s="6" t="n">
        <f aca="false">SUM(G22:G26)+$B$7</f>
        <v>36.15</v>
      </c>
    </row>
    <row r="28" customFormat="false" ht="15" hidden="false" customHeight="false" outlineLevel="0" collapsed="false">
      <c r="A28" s="8" t="s">
        <v>479</v>
      </c>
      <c r="B28" s="45" t="n">
        <f aca="false">$B$9*B19-B27</f>
        <v>162.759271219808</v>
      </c>
      <c r="C28" s="45" t="n">
        <f aca="false">$B$9*C19-C27</f>
        <v>193.437559763159</v>
      </c>
      <c r="D28" s="45" t="n">
        <f aca="false">$B$9*D19-D27</f>
        <v>222.102631765115</v>
      </c>
      <c r="E28" s="45" t="n">
        <f aca="false">$B$9*E19-E27</f>
        <v>87.5896311689675</v>
      </c>
      <c r="F28" s="45" t="n">
        <f aca="false">$B$9*F19-F27</f>
        <v>54.0157127910397</v>
      </c>
      <c r="G28" s="45" t="n">
        <f aca="false">$B$9*G19-G27</f>
        <v>884.938945479572</v>
      </c>
    </row>
    <row r="29" customFormat="false" ht="15" hidden="false" customHeight="false" outlineLevel="0" collapsed="false">
      <c r="A29" s="8" t="s">
        <v>480</v>
      </c>
      <c r="B29" s="27" t="n">
        <f aca="false">Courier_Hub!B48</f>
        <v>155.278911410284</v>
      </c>
      <c r="C29" s="27" t="n">
        <f aca="false">Courier_Hub!C48</f>
        <v>185.563999953635</v>
      </c>
      <c r="D29" s="27" t="n">
        <f aca="false">Courier_Hub!D48</f>
        <v>213.835871955591</v>
      </c>
      <c r="E29" s="27" t="n">
        <f aca="false">Courier_Hub!E48</f>
        <v>79.844224692777</v>
      </c>
      <c r="F29" s="27" t="n">
        <f aca="false">Courier_Hub!F48</f>
        <v>46.6826463148492</v>
      </c>
      <c r="G29" s="27" t="n">
        <f aca="false">Courier_Hub!G48</f>
        <v>855.454252336715</v>
      </c>
    </row>
    <row r="30" customFormat="false" ht="15" hidden="false" customHeight="false" outlineLevel="0" collapsed="false">
      <c r="A30" s="8" t="s">
        <v>481</v>
      </c>
      <c r="B30" s="46" t="n">
        <f aca="false">B28-B21</f>
        <v>5.59999999999999</v>
      </c>
      <c r="C30" s="46" t="n">
        <f aca="false">C28-C21</f>
        <v>5.59999999999999</v>
      </c>
      <c r="D30" s="46" t="n">
        <f aca="false">D28-D21</f>
        <v>5.59999999999999</v>
      </c>
      <c r="E30" s="46" t="n">
        <f aca="false">E28-E21</f>
        <v>2.84</v>
      </c>
      <c r="F30" s="46" t="n">
        <f aca="false">F28-F21</f>
        <v>2.33</v>
      </c>
      <c r="G30" s="46" t="n">
        <f aca="false">G28-G21</f>
        <v>-16.15</v>
      </c>
    </row>
    <row r="31" customFormat="false" ht="15" hidden="false" customHeight="false" outlineLevel="0" collapsed="false">
      <c r="A31" s="8" t="s">
        <v>482</v>
      </c>
      <c r="B31" s="46" t="n">
        <f aca="false">B28-B29</f>
        <v>7.48035980952383</v>
      </c>
      <c r="C31" s="46" t="n">
        <f aca="false">C28-C29</f>
        <v>7.87355980952381</v>
      </c>
      <c r="D31" s="46" t="n">
        <f aca="false">D28-D29</f>
        <v>8.26675980952382</v>
      </c>
      <c r="E31" s="46" t="n">
        <f aca="false">E28-E29</f>
        <v>7.7454064761905</v>
      </c>
      <c r="F31" s="46" t="n">
        <f aca="false">F28-F29</f>
        <v>7.33306647619048</v>
      </c>
      <c r="G31" s="46" t="n">
        <f aca="false">G28-G29</f>
        <v>29.4846931428572</v>
      </c>
    </row>
    <row r="32" customFormat="false" ht="15" hidden="false" customHeight="false" outlineLevel="0" collapsed="false">
      <c r="A32" s="8" t="s">
        <v>483</v>
      </c>
      <c r="B32" s="56" t="n">
        <f aca="false">IF(B31&gt;0,B31/Courier_Hub!B47,0)</f>
        <v>0.0323867274193482</v>
      </c>
      <c r="C32" s="56" t="n">
        <f aca="false">IF(C31&gt;0,C31/Courier_Hub!C47,0)</f>
        <v>0.0290723626161048</v>
      </c>
      <c r="D32" s="56" t="n">
        <f aca="false">IF(D31&gt;0,D31/Courier_Hub!D47,0)</f>
        <v>0.0268256608396796</v>
      </c>
      <c r="E32" s="56" t="n">
        <f aca="false">IF(E31&gt;0,E31/Courier_Hub!E47,0)</f>
        <v>0.0561081349807211</v>
      </c>
      <c r="F32" s="56" t="n">
        <f aca="false">IF(F31&gt;0,F31/Courier_Hub!F47,0)</f>
        <v>0.0772681158244974</v>
      </c>
      <c r="G32" s="56" t="n">
        <f aca="false">IF(G31&gt;0,G31/Courier_Hub!G47,0)</f>
        <v>0.0241435978526168</v>
      </c>
    </row>
    <row r="34" customFormat="false" ht="15" hidden="false" customHeight="false" outlineLevel="0" collapsed="false">
      <c r="A34" s="11" t="s">
        <v>484</v>
      </c>
      <c r="B34" s="12"/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8" t="s">
        <v>464</v>
      </c>
      <c r="B35" s="15" t="n">
        <v>75</v>
      </c>
      <c r="C35" s="15" t="n">
        <v>100</v>
      </c>
      <c r="D35" s="15" t="n">
        <v>150</v>
      </c>
      <c r="E35" s="15" t="n">
        <v>300</v>
      </c>
      <c r="F35" s="15" t="n">
        <v>600</v>
      </c>
      <c r="G35" s="15" t="n">
        <v>1000</v>
      </c>
    </row>
    <row r="36" customFormat="false" ht="15" hidden="false" customHeight="false" outlineLevel="0" collapsed="false">
      <c r="A36" s="4" t="s">
        <v>485</v>
      </c>
      <c r="B36" s="5" t="n">
        <f aca="false">$C$30*B35</f>
        <v>420</v>
      </c>
      <c r="C36" s="5" t="n">
        <f aca="false">$C$30*C35</f>
        <v>559.999999999999</v>
      </c>
      <c r="D36" s="5" t="n">
        <f aca="false">$C$30*D35</f>
        <v>839.999999999999</v>
      </c>
      <c r="E36" s="5" t="n">
        <f aca="false">$C$30*E35</f>
        <v>1680</v>
      </c>
      <c r="F36" s="5" t="n">
        <f aca="false">$C$30*F35</f>
        <v>3360</v>
      </c>
      <c r="G36" s="5" t="n">
        <f aca="false">$C$30*G35</f>
        <v>5599.99999999999</v>
      </c>
    </row>
    <row r="37" customFormat="false" ht="15" hidden="false" customHeight="false" outlineLevel="0" collapsed="false">
      <c r="A37" s="4" t="s">
        <v>486</v>
      </c>
      <c r="B37" s="5" t="n">
        <f aca="false">$C$31*B35</f>
        <v>590.516985714286</v>
      </c>
      <c r="C37" s="5" t="n">
        <f aca="false">$C$31*C35</f>
        <v>787.355980952381</v>
      </c>
      <c r="D37" s="5" t="n">
        <f aca="false">$C$31*D35</f>
        <v>1181.03397142857</v>
      </c>
      <c r="E37" s="5" t="n">
        <f aca="false">$C$31*E35</f>
        <v>2362.06794285714</v>
      </c>
      <c r="F37" s="5" t="n">
        <f aca="false">$C$31*F35</f>
        <v>4724.13588571429</v>
      </c>
      <c r="G37" s="5" t="n">
        <f aca="false">$C$31*G35</f>
        <v>7873.55980952381</v>
      </c>
    </row>
    <row r="39" customFormat="false" ht="15" hidden="false" customHeight="false" outlineLevel="0" collapsed="false">
      <c r="A39" s="2" t="s">
        <v>487</v>
      </c>
    </row>
    <row r="40" customFormat="false" ht="15" hidden="false" customHeight="false" outlineLevel="0" collapsed="false">
      <c r="A40" s="2" t="s">
        <v>488</v>
      </c>
    </row>
    <row r="41" customFormat="false" ht="15" hidden="false" customHeight="false" outlineLevel="0" collapsed="false">
      <c r="A41" s="2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490</v>
      </c>
    </row>
    <row r="2" customFormat="false" ht="15" hidden="false" customHeight="false" outlineLevel="0" collapsed="false">
      <c r="A2" s="2" t="s">
        <v>491</v>
      </c>
    </row>
    <row r="4" customFormat="false" ht="15" hidden="false" customHeight="false" outlineLevel="0" collapsed="false">
      <c r="A4" s="4" t="s">
        <v>492</v>
      </c>
      <c r="B4" s="53" t="n">
        <f aca="false">Courier_Hub!B24/30</f>
        <v>3.33333333333333</v>
      </c>
      <c r="C4" s="2" t="s">
        <v>493</v>
      </c>
    </row>
    <row r="5" customFormat="false" ht="15" hidden="false" customHeight="false" outlineLevel="0" collapsed="false">
      <c r="A5" s="4" t="s">
        <v>494</v>
      </c>
      <c r="B5" s="39" t="n">
        <v>28</v>
      </c>
      <c r="C5" s="2" t="s">
        <v>495</v>
      </c>
    </row>
    <row r="6" customFormat="false" ht="15" hidden="false" customHeight="false" outlineLevel="0" collapsed="false">
      <c r="A6" s="4" t="s">
        <v>496</v>
      </c>
      <c r="B6" s="24" t="n">
        <v>3</v>
      </c>
      <c r="C6" s="2"/>
    </row>
    <row r="7" customFormat="false" ht="15" hidden="false" customHeight="false" outlineLevel="0" collapsed="false">
      <c r="A7" s="4" t="s">
        <v>497</v>
      </c>
      <c r="B7" s="30" t="n">
        <v>1</v>
      </c>
      <c r="C7" s="2" t="s">
        <v>498</v>
      </c>
    </row>
    <row r="8" customFormat="false" ht="15" hidden="false" customHeight="false" outlineLevel="0" collapsed="false">
      <c r="A8" s="4" t="s">
        <v>499</v>
      </c>
      <c r="B8" s="23" t="n">
        <v>200</v>
      </c>
      <c r="C8" s="2" t="s">
        <v>500</v>
      </c>
    </row>
    <row r="9" customFormat="false" ht="15" hidden="false" customHeight="false" outlineLevel="0" collapsed="false">
      <c r="A9" s="4" t="s">
        <v>414</v>
      </c>
      <c r="B9" s="59" t="n">
        <f aca="false">Courier_Hub!B23</f>
        <v>30</v>
      </c>
    </row>
    <row r="10" customFormat="false" ht="15" hidden="false" customHeight="false" outlineLevel="0" collapsed="false">
      <c r="A10" s="4" t="s">
        <v>501</v>
      </c>
      <c r="B10" s="17" t="n">
        <f aca="false">Courier_Hub!B22</f>
        <v>114</v>
      </c>
    </row>
    <row r="11" customFormat="false" ht="15" hidden="false" customHeight="false" outlineLevel="0" collapsed="false">
      <c r="A11" s="4" t="s">
        <v>56</v>
      </c>
      <c r="B11" s="25" t="n">
        <f aca="false">Supuestos!B5</f>
        <v>3.5</v>
      </c>
    </row>
    <row r="12" customFormat="false" ht="15" hidden="false" customHeight="false" outlineLevel="0" collapsed="false">
      <c r="A12" s="4" t="s">
        <v>406</v>
      </c>
      <c r="B12" s="58" t="n">
        <f aca="false">Courier_Hub!B19</f>
        <v>20</v>
      </c>
    </row>
    <row r="14" customFormat="false" ht="30" hidden="false" customHeight="true" outlineLevel="0" collapsed="false">
      <c r="A14" s="44" t="s">
        <v>18</v>
      </c>
      <c r="B14" s="44" t="s">
        <v>502</v>
      </c>
      <c r="C14" s="44" t="s">
        <v>503</v>
      </c>
      <c r="D14" s="44" t="s">
        <v>428</v>
      </c>
      <c r="E14" s="44" t="s">
        <v>504</v>
      </c>
      <c r="F14" s="44" t="s">
        <v>505</v>
      </c>
      <c r="G14" s="44" t="s">
        <v>506</v>
      </c>
    </row>
    <row r="15" customFormat="false" ht="15" hidden="false" customHeight="false" outlineLevel="0" collapsed="false">
      <c r="A15" s="4" t="s">
        <v>507</v>
      </c>
      <c r="B15" s="19" t="n">
        <v>0.6</v>
      </c>
      <c r="C15" s="7" t="n">
        <f aca="false">$B$4*($B$5+$B$6)*B15</f>
        <v>62</v>
      </c>
      <c r="D15" s="20" t="n">
        <v>12</v>
      </c>
      <c r="E15" s="7" t="n">
        <f aca="false">C15/D15</f>
        <v>5.16666666666667</v>
      </c>
      <c r="F15" s="55" t="n">
        <v>0.0077</v>
      </c>
      <c r="G15" s="60" t="n">
        <f aca="false">C15*F15</f>
        <v>0.4774</v>
      </c>
    </row>
    <row r="16" customFormat="false" ht="15" hidden="false" customHeight="false" outlineLevel="0" collapsed="false">
      <c r="A16" s="4" t="s">
        <v>508</v>
      </c>
      <c r="B16" s="19" t="n">
        <v>0.1</v>
      </c>
      <c r="C16" s="7" t="n">
        <f aca="false">$B$4*($B$5+$B$6)*B16</f>
        <v>10.3333333333333</v>
      </c>
      <c r="D16" s="20" t="n">
        <v>12</v>
      </c>
      <c r="E16" s="7" t="n">
        <f aca="false">C16/D16</f>
        <v>0.861111111111111</v>
      </c>
      <c r="F16" s="55" t="n">
        <v>0.0077</v>
      </c>
      <c r="G16" s="60" t="n">
        <f aca="false">C16*F16</f>
        <v>0.0795666666666667</v>
      </c>
    </row>
    <row r="17" customFormat="false" ht="15" hidden="false" customHeight="false" outlineLevel="0" collapsed="false">
      <c r="A17" s="4" t="s">
        <v>28</v>
      </c>
      <c r="B17" s="19" t="n">
        <v>0.12</v>
      </c>
      <c r="C17" s="7" t="n">
        <f aca="false">$B$4*($B$5+$B$6)*B17</f>
        <v>12.4</v>
      </c>
      <c r="D17" s="20" t="n">
        <v>6</v>
      </c>
      <c r="E17" s="7" t="n">
        <f aca="false">C17/D17</f>
        <v>2.06666666666667</v>
      </c>
      <c r="F17" s="55" t="n">
        <v>0.0242</v>
      </c>
      <c r="G17" s="60" t="n">
        <f aca="false">C17*F17</f>
        <v>0.30008</v>
      </c>
    </row>
    <row r="18" customFormat="false" ht="15" hidden="false" customHeight="false" outlineLevel="0" collapsed="false">
      <c r="A18" s="4" t="s">
        <v>29</v>
      </c>
      <c r="B18" s="19" t="n">
        <v>0.1</v>
      </c>
      <c r="C18" s="7" t="n">
        <f aca="false">$B$4*($B$5+$B$6)*B18</f>
        <v>10.3333333333333</v>
      </c>
      <c r="D18" s="20" t="n">
        <v>6</v>
      </c>
      <c r="E18" s="7" t="n">
        <f aca="false">C18/D18</f>
        <v>1.72222222222222</v>
      </c>
      <c r="F18" s="55" t="n">
        <v>0.0259</v>
      </c>
      <c r="G18" s="60" t="n">
        <f aca="false">C18*F18</f>
        <v>0.267633333333333</v>
      </c>
    </row>
    <row r="19" customFormat="false" ht="15" hidden="false" customHeight="false" outlineLevel="0" collapsed="false">
      <c r="A19" s="4" t="s">
        <v>30</v>
      </c>
      <c r="B19" s="19" t="n">
        <v>0.03</v>
      </c>
      <c r="C19" s="7" t="n">
        <f aca="false">$B$4*($B$5+$B$6)*B19</f>
        <v>3.1</v>
      </c>
      <c r="D19" s="20" t="n">
        <v>1</v>
      </c>
      <c r="E19" s="7" t="n">
        <f aca="false">C19/D19</f>
        <v>3.1</v>
      </c>
      <c r="F19" s="55" t="n">
        <v>0.0875</v>
      </c>
      <c r="G19" s="60" t="n">
        <f aca="false">C19*F19</f>
        <v>0.27125</v>
      </c>
    </row>
    <row r="20" customFormat="false" ht="15" hidden="false" customHeight="false" outlineLevel="0" collapsed="false">
      <c r="A20" s="4" t="s">
        <v>376</v>
      </c>
      <c r="B20" s="19" t="n">
        <v>0.05</v>
      </c>
      <c r="C20" s="7" t="n">
        <f aca="false">$B$4*($B$5+$B$6)*B20</f>
        <v>5.16666666666667</v>
      </c>
      <c r="D20" s="20" t="n">
        <v>11.5</v>
      </c>
      <c r="E20" s="7" t="n">
        <f aca="false">C20/D20</f>
        <v>0.449275362318841</v>
      </c>
      <c r="F20" s="55" t="n">
        <v>0.006</v>
      </c>
      <c r="G20" s="60" t="n">
        <f aca="false">C20*F20</f>
        <v>0.031</v>
      </c>
    </row>
    <row r="21" customFormat="false" ht="15" hidden="false" customHeight="false" outlineLevel="0" collapsed="false">
      <c r="A21" s="8" t="s">
        <v>108</v>
      </c>
      <c r="B21" s="56" t="n">
        <f aca="false">SUM(B15:B20)</f>
        <v>1</v>
      </c>
      <c r="C21" s="61" t="n">
        <f aca="false">SUM(C15:C20)</f>
        <v>103.333333333333</v>
      </c>
      <c r="E21" s="61" t="n">
        <f aca="false">SUM(E15:E20)</f>
        <v>13.3659420289855</v>
      </c>
      <c r="G21" s="62" t="n">
        <f aca="false">SUM(G15:G20)</f>
        <v>1.42693</v>
      </c>
    </row>
    <row r="23" customFormat="false" ht="15" hidden="false" customHeight="false" outlineLevel="0" collapsed="false">
      <c r="A23" s="11" t="s">
        <v>509</v>
      </c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4" t="s">
        <v>510</v>
      </c>
      <c r="B24" s="7" t="n">
        <f aca="false">MAX($B$7,E21/$B$9)</f>
        <v>1</v>
      </c>
    </row>
    <row r="25" customFormat="false" ht="15" hidden="false" customHeight="false" outlineLevel="0" collapsed="false">
      <c r="A25" s="4" t="s">
        <v>511</v>
      </c>
      <c r="B25" s="6" t="n">
        <f aca="false">B24*$B$10</f>
        <v>114</v>
      </c>
    </row>
    <row r="26" customFormat="false" ht="15" hidden="false" customHeight="false" outlineLevel="0" collapsed="false">
      <c r="A26" s="4" t="s">
        <v>512</v>
      </c>
      <c r="B26" s="7" t="n">
        <f aca="false">30/$B$5</f>
        <v>1.07142857142857</v>
      </c>
    </row>
    <row r="27" customFormat="false" ht="15" hidden="false" customHeight="false" outlineLevel="0" collapsed="false">
      <c r="A27" s="4" t="s">
        <v>513</v>
      </c>
      <c r="B27" s="6" t="n">
        <f aca="false">B25*B26</f>
        <v>122.142857142857</v>
      </c>
    </row>
    <row r="28" customFormat="false" ht="15" hidden="false" customHeight="false" outlineLevel="0" collapsed="false">
      <c r="A28" s="4" t="s">
        <v>514</v>
      </c>
      <c r="B28" s="6" t="n">
        <f aca="false">$B$8*B26</f>
        <v>214.285714285714</v>
      </c>
    </row>
    <row r="29" customFormat="false" ht="15" hidden="false" customHeight="false" outlineLevel="0" collapsed="false">
      <c r="A29" s="4" t="s">
        <v>515</v>
      </c>
      <c r="B29" s="6" t="n">
        <f aca="false">G21*$B$12*$B$11</f>
        <v>99.8851</v>
      </c>
    </row>
    <row r="30" customFormat="false" ht="15" hidden="false" customHeight="false" outlineLevel="0" collapsed="false">
      <c r="A30" s="8" t="s">
        <v>516</v>
      </c>
      <c r="B30" s="45" t="n">
        <f aca="false">B27+B28+B29</f>
        <v>436.313671428571</v>
      </c>
    </row>
    <row r="31" customFormat="false" ht="15" hidden="false" customHeight="false" outlineLevel="0" collapsed="false">
      <c r="A31" s="4" t="s">
        <v>517</v>
      </c>
      <c r="B31" s="14" t="n">
        <f aca="false">B4*30</f>
        <v>100</v>
      </c>
    </row>
    <row r="32" customFormat="false" ht="15" hidden="false" customHeight="false" outlineLevel="0" collapsed="false">
      <c r="A32" s="4" t="s">
        <v>518</v>
      </c>
      <c r="B32" s="6" t="n">
        <f aca="false">Courier_Hub!B11*MAX(Courier_Hub!B25,B31)</f>
        <v>825</v>
      </c>
    </row>
    <row r="33" customFormat="false" ht="15" hidden="false" customHeight="false" outlineLevel="0" collapsed="false">
      <c r="A33" s="8" t="s">
        <v>519</v>
      </c>
      <c r="B33" s="48" t="n">
        <f aca="false">(B30+B32)/B31</f>
        <v>12.6131367142857</v>
      </c>
    </row>
    <row r="34" customFormat="false" ht="15" hidden="false" customHeight="false" outlineLevel="0" collapsed="false">
      <c r="A34" s="4" t="s">
        <v>520</v>
      </c>
      <c r="B34" s="42" t="n">
        <f aca="false">(Supuestos!B16*B31+Supuestos!B36)/B31</f>
        <v>7.5</v>
      </c>
    </row>
    <row r="35" customFormat="false" ht="15" hidden="false" customHeight="false" outlineLevel="0" collapsed="false">
      <c r="A35" s="8" t="s">
        <v>521</v>
      </c>
      <c r="B35" s="52" t="n">
        <f aca="false">B33-B34</f>
        <v>5.11313671428572</v>
      </c>
    </row>
    <row r="37" customFormat="false" ht="15" hidden="false" customHeight="false" outlineLevel="0" collapsed="false">
      <c r="A37" s="2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6" min="2" style="0" width="19"/>
  </cols>
  <sheetData>
    <row r="1" customFormat="false" ht="17.35" hidden="false" customHeight="false" outlineLevel="0" collapsed="false">
      <c r="A1" s="1" t="s">
        <v>523</v>
      </c>
    </row>
    <row r="2" customFormat="false" ht="15" hidden="false" customHeight="false" outlineLevel="0" collapsed="false">
      <c r="A2" s="2" t="s">
        <v>524</v>
      </c>
    </row>
    <row r="4" customFormat="false" ht="30" hidden="false" customHeight="true" outlineLevel="0" collapsed="false">
      <c r="A4" s="44" t="s">
        <v>18</v>
      </c>
      <c r="B4" s="44" t="s">
        <v>309</v>
      </c>
      <c r="C4" s="44" t="s">
        <v>297</v>
      </c>
      <c r="D4" s="44" t="s">
        <v>298</v>
      </c>
    </row>
    <row r="5" customFormat="false" ht="15" hidden="false" customHeight="false" outlineLevel="0" collapsed="false">
      <c r="A5" s="4" t="s">
        <v>525</v>
      </c>
      <c r="B5" s="15" t="n">
        <v>1008</v>
      </c>
      <c r="C5" s="38" t="n">
        <v>4.9</v>
      </c>
      <c r="D5" s="42" t="n">
        <f aca="false">B5*C5</f>
        <v>4939.2</v>
      </c>
    </row>
    <row r="6" customFormat="false" ht="15" hidden="false" customHeight="false" outlineLevel="0" collapsed="false">
      <c r="A6" s="4" t="s">
        <v>526</v>
      </c>
      <c r="B6" s="15" t="n">
        <v>1000</v>
      </c>
      <c r="C6" s="38" t="n">
        <v>0.55</v>
      </c>
      <c r="D6" s="42" t="n">
        <f aca="false">B6*C6</f>
        <v>550</v>
      </c>
    </row>
    <row r="7" customFormat="false" ht="15" hidden="false" customHeight="false" outlineLevel="0" collapsed="false">
      <c r="A7" s="4" t="s">
        <v>527</v>
      </c>
      <c r="B7" s="15" t="n">
        <v>500</v>
      </c>
      <c r="C7" s="38" t="n">
        <v>3.55</v>
      </c>
      <c r="D7" s="42" t="n">
        <f aca="false">B7*C7</f>
        <v>1775</v>
      </c>
    </row>
    <row r="8" customFormat="false" ht="15" hidden="false" customHeight="false" outlineLevel="0" collapsed="false">
      <c r="A8" s="4" t="s">
        <v>528</v>
      </c>
      <c r="B8" s="15" t="n">
        <v>5</v>
      </c>
      <c r="C8" s="38" t="n">
        <v>15</v>
      </c>
      <c r="D8" s="42" t="n">
        <f aca="false">B8*C8</f>
        <v>75</v>
      </c>
    </row>
    <row r="9" customFormat="false" ht="15" hidden="false" customHeight="false" outlineLevel="0" collapsed="false">
      <c r="A9" s="4" t="s">
        <v>529</v>
      </c>
      <c r="B9" s="15" t="n">
        <v>1</v>
      </c>
      <c r="C9" s="38" t="n">
        <v>665</v>
      </c>
      <c r="D9" s="42" t="n">
        <f aca="false">B9*C9</f>
        <v>665</v>
      </c>
    </row>
    <row r="10" customFormat="false" ht="15" hidden="false" customHeight="false" outlineLevel="0" collapsed="false">
      <c r="A10" s="8" t="s">
        <v>530</v>
      </c>
      <c r="D10" s="48" t="n">
        <f aca="false">SUM(D5:D9)</f>
        <v>8004.2</v>
      </c>
    </row>
    <row r="11" customFormat="false" ht="15" hidden="false" customHeight="false" outlineLevel="0" collapsed="false">
      <c r="A11" s="2" t="s">
        <v>531</v>
      </c>
    </row>
    <row r="13" customFormat="false" ht="15" hidden="false" customHeight="false" outlineLevel="0" collapsed="false">
      <c r="A13" s="11" t="s">
        <v>532</v>
      </c>
    </row>
    <row r="14" customFormat="false" ht="15" hidden="false" customHeight="false" outlineLevel="0" collapsed="false">
      <c r="A14" s="4" t="s">
        <v>533</v>
      </c>
      <c r="B14" s="38" t="n">
        <v>1135.87</v>
      </c>
    </row>
    <row r="15" customFormat="false" ht="15" hidden="false" customHeight="false" outlineLevel="0" collapsed="false">
      <c r="A15" s="4" t="s">
        <v>534</v>
      </c>
      <c r="B15" s="38" t="n">
        <v>135.13</v>
      </c>
    </row>
    <row r="16" customFormat="false" ht="15" hidden="false" customHeight="false" outlineLevel="0" collapsed="false">
      <c r="A16" s="4" t="s">
        <v>535</v>
      </c>
      <c r="B16" s="38" t="n">
        <v>1720</v>
      </c>
    </row>
    <row r="17" customFormat="false" ht="15" hidden="false" customHeight="false" outlineLevel="0" collapsed="false">
      <c r="A17" s="4" t="s">
        <v>536</v>
      </c>
      <c r="B17" s="38" t="n">
        <v>309.6</v>
      </c>
    </row>
    <row r="18" customFormat="false" ht="15" hidden="false" customHeight="false" outlineLevel="0" collapsed="false">
      <c r="A18" s="4" t="s">
        <v>537</v>
      </c>
      <c r="B18" s="38" t="n">
        <v>5961</v>
      </c>
    </row>
    <row r="19" customFormat="false" ht="15" hidden="false" customHeight="false" outlineLevel="0" collapsed="false">
      <c r="A19" s="4" t="s">
        <v>538</v>
      </c>
      <c r="B19" s="39" t="n">
        <v>1</v>
      </c>
    </row>
    <row r="20" customFormat="false" ht="15" hidden="false" customHeight="false" outlineLevel="0" collapsed="false">
      <c r="A20" s="4" t="s">
        <v>210</v>
      </c>
      <c r="B20" s="25" t="n">
        <f aca="false">Supuestos!B5</f>
        <v>3.5</v>
      </c>
    </row>
    <row r="21" customFormat="false" ht="15" hidden="false" customHeight="false" outlineLevel="0" collapsed="false">
      <c r="A21" s="2" t="s">
        <v>539</v>
      </c>
    </row>
    <row r="23" customFormat="false" ht="15" hidden="false" customHeight="false" outlineLevel="0" collapsed="false">
      <c r="A23" s="11" t="s">
        <v>2</v>
      </c>
    </row>
    <row r="24" customFormat="false" ht="15" hidden="false" customHeight="false" outlineLevel="0" collapsed="false">
      <c r="A24" s="4" t="s">
        <v>540</v>
      </c>
      <c r="B24" s="42" t="n">
        <f aca="false">D10*B20</f>
        <v>28014.7</v>
      </c>
    </row>
    <row r="25" customFormat="false" ht="15" hidden="false" customHeight="false" outlineLevel="0" collapsed="false">
      <c r="A25" s="4" t="s">
        <v>541</v>
      </c>
      <c r="B25" s="42" t="n">
        <f aca="false">B14*B20</f>
        <v>3975.545</v>
      </c>
    </row>
    <row r="26" customFormat="false" ht="15" hidden="false" customHeight="false" outlineLevel="0" collapsed="false">
      <c r="A26" s="4" t="s">
        <v>542</v>
      </c>
      <c r="B26" s="42" t="n">
        <f aca="false">B16+B17</f>
        <v>2029.6</v>
      </c>
    </row>
    <row r="27" customFormat="false" ht="15" hidden="false" customHeight="false" outlineLevel="0" collapsed="false">
      <c r="A27" s="4" t="s">
        <v>356</v>
      </c>
      <c r="B27" s="42" t="n">
        <f aca="false">B18</f>
        <v>5961</v>
      </c>
    </row>
    <row r="28" customFormat="false" ht="15" hidden="false" customHeight="false" outlineLevel="0" collapsed="false">
      <c r="A28" s="8" t="s">
        <v>543</v>
      </c>
      <c r="B28" s="48" t="n">
        <f aca="false">SUM(B24:B27)</f>
        <v>39980.845</v>
      </c>
    </row>
    <row r="29" customFormat="false" ht="15" hidden="false" customHeight="false" outlineLevel="0" collapsed="false">
      <c r="A29" s="4" t="s">
        <v>544</v>
      </c>
      <c r="B29" s="42" t="n">
        <f aca="false">B19*(B18+B17+B15*B20)</f>
        <v>6743.555</v>
      </c>
    </row>
    <row r="30" customFormat="false" ht="15" hidden="false" customHeight="false" outlineLevel="0" collapsed="false">
      <c r="A30" s="8" t="s">
        <v>364</v>
      </c>
      <c r="B30" s="52" t="n">
        <f aca="false">B28-B29</f>
        <v>33237.29</v>
      </c>
    </row>
    <row r="31" customFormat="false" ht="15" hidden="false" customHeight="false" outlineLevel="0" collapsed="false">
      <c r="A31" s="4" t="s">
        <v>365</v>
      </c>
      <c r="B31" s="42" t="n">
        <f aca="false">B30/B20</f>
        <v>9496.36857142857</v>
      </c>
    </row>
    <row r="33" customFormat="false" ht="15" hidden="false" customHeight="false" outlineLevel="0" collapsed="false">
      <c r="A33" s="11" t="s">
        <v>545</v>
      </c>
    </row>
    <row r="34" customFormat="false" ht="30" hidden="false" customHeight="true" outlineLevel="0" collapsed="false">
      <c r="A34" s="44" t="s">
        <v>18</v>
      </c>
      <c r="B34" s="44" t="s">
        <v>546</v>
      </c>
      <c r="C34" s="44" t="s">
        <v>547</v>
      </c>
      <c r="D34" s="44" t="s">
        <v>548</v>
      </c>
      <c r="E34" s="44" t="s">
        <v>296</v>
      </c>
      <c r="F34" s="44" t="s">
        <v>549</v>
      </c>
    </row>
    <row r="35" customFormat="false" ht="15" hidden="false" customHeight="false" outlineLevel="0" collapsed="false">
      <c r="A35" s="4" t="s">
        <v>550</v>
      </c>
      <c r="B35" s="42" t="n">
        <f aca="false">D5</f>
        <v>4939.2</v>
      </c>
      <c r="C35" s="28" t="n">
        <f aca="false">B35/SUM($B$35:$B$37)</f>
        <v>0.679937226397952</v>
      </c>
      <c r="D35" s="42" t="n">
        <f aca="false">C35*$B$30</f>
        <v>22599.2707755844</v>
      </c>
      <c r="E35" s="14" t="n">
        <f aca="false">B5</f>
        <v>1008</v>
      </c>
      <c r="F35" s="52" t="n">
        <f aca="false">D35/E35</f>
        <v>22.4199114837147</v>
      </c>
    </row>
    <row r="36" customFormat="false" ht="15" hidden="false" customHeight="false" outlineLevel="0" collapsed="false">
      <c r="A36" s="4" t="s">
        <v>551</v>
      </c>
      <c r="B36" s="42" t="n">
        <f aca="false">D6</f>
        <v>550</v>
      </c>
      <c r="C36" s="28" t="n">
        <f aca="false">B36/SUM($B$35:$B$37)</f>
        <v>0.0757137744004846</v>
      </c>
      <c r="D36" s="42" t="n">
        <f aca="false">C36*$B$30</f>
        <v>2516.52067674348</v>
      </c>
      <c r="E36" s="14" t="n">
        <f aca="false">B6</f>
        <v>1000</v>
      </c>
      <c r="F36" s="52" t="n">
        <f aca="false">D36/E36</f>
        <v>2.51652067674348</v>
      </c>
    </row>
    <row r="37" customFormat="false" ht="15" hidden="false" customHeight="false" outlineLevel="0" collapsed="false">
      <c r="A37" s="4" t="s">
        <v>552</v>
      </c>
      <c r="B37" s="42" t="n">
        <f aca="false">D7</f>
        <v>1775</v>
      </c>
      <c r="C37" s="28" t="n">
        <f aca="false">B37/SUM($B$35:$B$37)</f>
        <v>0.244348999201564</v>
      </c>
      <c r="D37" s="42" t="n">
        <f aca="false">C37*$B$30</f>
        <v>8121.49854767215</v>
      </c>
      <c r="E37" s="14" t="n">
        <f aca="false">B7</f>
        <v>500</v>
      </c>
      <c r="F37" s="52" t="n">
        <f aca="false">D37/E37</f>
        <v>16.2429970953443</v>
      </c>
    </row>
    <row r="38" customFormat="false" ht="15" hidden="false" customHeight="false" outlineLevel="0" collapsed="false">
      <c r="A38" s="8" t="s">
        <v>108</v>
      </c>
      <c r="B38" s="48" t="n">
        <f aca="false">SUM(B35:B37)</f>
        <v>7264.2</v>
      </c>
      <c r="C38" s="56" t="n">
        <f aca="false">SUM(C35:C37)</f>
        <v>1</v>
      </c>
      <c r="D38" s="48" t="n">
        <f aca="false">SUM(D35:D37)</f>
        <v>33237.29</v>
      </c>
    </row>
    <row r="39" customFormat="false" ht="15" hidden="false" customHeight="false" outlineLevel="0" collapsed="false">
      <c r="A39" s="2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2026-10-19T22:45:02Z</dcterms:created>
  <dc:creator>openpyxl</dc:creator>
  <dc:description/>
  <dc:language>en-US</dc:language>
  <cp:lastModifiedBy/>
  <dcterms:modified xsi:type="dcterms:W3CDTF">2026-10-19T22:45:04Z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